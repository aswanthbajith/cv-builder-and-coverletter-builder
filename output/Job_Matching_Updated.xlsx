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Match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1"/>
  <sheetViews>
    <sheetView workbookViewId="0">
      <selection activeCell="A1" sqref="A1"/>
    </sheetView>
  </sheetViews>
  <sheetFormatPr baseColWidth="8" defaultRowHeight="15"/>
  <cols>
    <col width="6" customWidth="1" min="1" max="1"/>
    <col width="13" customWidth="1" min="2" max="2"/>
    <col width="50" customWidth="1" min="3" max="3"/>
    <col width="50" customWidth="1" min="4" max="4"/>
    <col width="50" customWidth="1" min="5" max="5"/>
    <col width="14"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43" customWidth="1" min="14" max="14"/>
    <col width="27" customWidth="1" min="15" max="15"/>
    <col width="11" customWidth="1" min="16" max="16"/>
    <col width="14" customWidth="1" min="17" max="17"/>
    <col width="22" customWidth="1" min="18" max="18"/>
    <col width="15" customWidth="1" min="19" max="19"/>
    <col width="50" customWidth="1" min="20" max="20"/>
    <col width="50" customWidth="1" min="21" max="21"/>
    <col width="9" customWidth="1" min="22" max="22"/>
    <col width="50" customWidth="1" min="23" max="23"/>
    <col width="50" customWidth="1" min="24" max="24"/>
    <col width="50" customWidth="1" min="25" max="25"/>
    <col width="28" customWidth="1" min="26" max="26"/>
  </cols>
  <sheetData>
    <row r="1">
      <c r="A1" t="inlineStr">
        <is>
          <t>Rank</t>
        </is>
      </c>
      <c r="B1" t="inlineStr">
        <is>
          <t>match_score</t>
        </is>
      </c>
      <c r="C1" t="inlineStr">
        <is>
          <t>company</t>
        </is>
      </c>
      <c r="D1" t="inlineStr">
        <is>
          <t>job_title</t>
        </is>
      </c>
      <c r="E1" t="inlineStr">
        <is>
          <t>location</t>
        </is>
      </c>
      <c r="F1" t="inlineStr">
        <is>
          <t>posting_date</t>
        </is>
      </c>
      <c r="G1" t="inlineStr">
        <is>
          <t>job_description</t>
        </is>
      </c>
      <c r="H1" t="inlineStr">
        <is>
          <t>required_skills</t>
        </is>
      </c>
      <c r="I1" t="inlineStr">
        <is>
          <t>preferred_qualifications</t>
        </is>
      </c>
      <c r="J1" t="inlineStr">
        <is>
          <t>application_url</t>
        </is>
      </c>
      <c r="K1" t="inlineStr">
        <is>
          <t>key_matching_skills</t>
        </is>
      </c>
      <c r="L1" t="inlineStr">
        <is>
          <t>missing_skills</t>
        </is>
      </c>
      <c r="M1" t="inlineStr">
        <is>
          <t>job_type</t>
        </is>
      </c>
      <c r="N1" t="inlineStr">
        <is>
          <t>deadline</t>
        </is>
      </c>
      <c r="O1" t="inlineStr">
        <is>
          <t>source</t>
        </is>
      </c>
      <c r="P1" t="inlineStr">
        <is>
          <t>duplicate</t>
        </is>
      </c>
      <c r="Q1" t="inlineStr">
        <is>
          <t>duplicate_of</t>
        </is>
      </c>
      <c r="R1" t="inlineStr">
        <is>
          <t>deduplication_reason</t>
        </is>
      </c>
      <c r="S1" t="inlineStr">
        <is>
          <t>match_percent</t>
        </is>
      </c>
      <c r="T1" t="inlineStr">
        <is>
          <t>match_reasoning</t>
        </is>
      </c>
      <c r="U1" t="inlineStr">
        <is>
          <t>strengths</t>
        </is>
      </c>
      <c r="V1" t="inlineStr">
        <is>
          <t>status</t>
        </is>
      </c>
      <c r="W1" t="inlineStr">
        <is>
          <t>resume_tex</t>
        </is>
      </c>
      <c r="X1" t="inlineStr">
        <is>
          <t>resume_pdf</t>
        </is>
      </c>
      <c r="Y1" t="inlineStr">
        <is>
          <t>cover_letter</t>
        </is>
      </c>
      <c r="Z1" t="inlineStr">
        <is>
          <t>generated_date</t>
        </is>
      </c>
    </row>
    <row r="2">
      <c r="A2" t="n">
        <v>1</v>
      </c>
      <c r="B2" t="n">
        <v>92</v>
      </c>
      <c r="C2" t="inlineStr">
        <is>
          <t>BMW Group</t>
        </is>
      </c>
      <c r="D2" t="inlineStr">
        <is>
          <t>Intern Quantum Computing Applications (w/m/x)</t>
        </is>
      </c>
      <c r="E2" t="inlineStr">
        <is>
          <t>Munich, Germany</t>
        </is>
      </c>
      <c r="F2" t="inlineStr">
        <is>
          <t>2026-06-02</t>
        </is>
      </c>
      <c r="G2" t="inlineStr">
        <is>
          <t>Support quantum computing projects by applying advanced algorithms, contributing to quantum chemistry applications, ecosystem mapping, and innovative solutions at the intersection of quantum computing and automotive technology.</t>
        </is>
      </c>
      <c r="H2" t="inlineStr">
        <is>
          <t>Studies in theoretical chemistry, quantum computing, computational physics or related field; Knowledge of quantum chemistry and quantum computing algorithms; Very good Python programming skills; Experience with open-source code and collaborative development; Good German and English skills</t>
        </is>
      </c>
      <c r="I2" t="inlineStr">
        <is>
          <t>Knowledge of materials science; Experience with other programming languages; Prior quantum computing project experience</t>
        </is>
      </c>
      <c r="J2" t="inlineStr">
        <is>
          <t>https://www.bmwgroup.jobs/en/jobfinder/job-description-copy.188581.html</t>
        </is>
      </c>
      <c r="K2" t="inlineStr">
        <is>
          <t>Python (Advanced), Quantum Computing coursework, Materials Science background, Optimization Methods, Scientific Computing, Git/Linux workflows</t>
        </is>
      </c>
      <c r="L2" t="inlineStr"/>
      <c r="M2" t="inlineStr">
        <is>
          <t>Internship</t>
        </is>
      </c>
      <c r="N2" t="inlineStr">
        <is>
          <t>2026-07-15</t>
        </is>
      </c>
      <c r="O2" t="inlineStr">
        <is>
          <t>BMW Group Jobs</t>
        </is>
      </c>
      <c r="P2" t="b">
        <v>0</v>
      </c>
      <c r="Q2" t="inlineStr"/>
      <c r="R2" t="inlineStr"/>
      <c r="S2" t="n">
        <v>85.5</v>
      </c>
      <c r="T2" t="inlineStr">
        <is>
          <t>Overall match: 86%; Education: 50%, Skills: 100%, Programming: 100%; Research: 90%, Experience: 70%; Strengths: Python programming, Quantum computing knowledge, Optimization methods expertise</t>
        </is>
      </c>
      <c r="U2" t="inlineStr">
        <is>
          <t>Python programming, Quantum computing knowledge, Optimization methods expertise</t>
        </is>
      </c>
      <c r="V2" t="inlineStr">
        <is>
          <t>proceed</t>
        </is>
      </c>
      <c r="W2">
        <f>HYPERLINK("C:\Users\ASWA\Music\Playlists\project Job\generated\CV\tex\BMW_Group_Intern_Quantum_Computing_Applications_wmx.tex","Open Resume Tex")</f>
        <v/>
      </c>
      <c r="X2">
        <f>HYPERLINK("C:\Users\ASWA\Music\Playlists\project Job\generated\CV\pdf\BMW_Group_Intern_Quantum_Computing_Applications_wmx.pdf","Open Resume Pdf")</f>
        <v/>
      </c>
      <c r="Y2">
        <f>HYPERLINK("C:\Users\ASWA\Music\Playlists\project Job\generated\CoverLetters\docx\BMW_Group_Intern_Quantum_Computing_Applications_wmx_CoverLetter.docx","Open Cover Letter")</f>
        <v/>
      </c>
      <c r="Z2" t="inlineStr">
        <is>
          <t>2026-06-27T20:41:28.852009</t>
        </is>
      </c>
    </row>
    <row r="3">
      <c r="A3" t="n">
        <v>2</v>
      </c>
      <c r="B3" t="n">
        <v>89</v>
      </c>
      <c r="C3" t="inlineStr">
        <is>
          <t>Karlsruher Institut für Technologie (KIT) / Helmholtz Association</t>
        </is>
      </c>
      <c r="D3" t="inlineStr">
        <is>
          <t>Research Software Engineer (f/m/d) - HPC &amp; RSE</t>
        </is>
      </c>
      <c r="E3" t="inlineStr">
        <is>
          <t>Karlsruhe/Eggenstein-Leopoldshafen, Germany</t>
        </is>
      </c>
      <c r="F3" t="inlineStr">
        <is>
          <t>2026-06-03</t>
        </is>
      </c>
      <c r="G3" t="inlineStr">
        <is>
          <t>Support researchers within the Helmholtz Association by providing advice in research software engineering (RSE) and high-performance computing (HPC). Create RSE training courses, collect knowledge and technologies in RSE, keep track of new trends, and actively participate in national and international RSE activities such as conferences and workshops.</t>
        </is>
      </c>
      <c r="H3" t="inlineStr">
        <is>
          <t>Master's degree in mathematics, computer science, natural sciences, engineering or related disciplines; Sound understanding of modern software engineering practices; Experience with research software; Experience as trainer in RSE and/or HPC; Very good English (B2+); Good communication skills and interdisciplinary teamwork</t>
        </is>
      </c>
      <c r="I3" t="inlineStr">
        <is>
          <t>Experience in High-Performance Computing; Python, C++, FORTRAN, Go, MPI, OpenMP; Good German skills; Publications or software contributions</t>
        </is>
      </c>
      <c r="J3" t="inlineStr">
        <is>
          <t>https://www.academics.com/jobs/research-software-engineer-w-m-d-karlsruher-institut-fuer-technologie-kit-eggenstein-leopoldshafen-karlsruhe-1108578</t>
        </is>
      </c>
      <c r="K3" t="inlineStr">
        <is>
          <t>Python (Advanced), HPC, Scientific Computing, Software Engineering, Git, Linux, Training/Communication, Optimization Methods</t>
        </is>
      </c>
      <c r="L3" t="inlineStr">
        <is>
          <t>mpi, openmp, fortran</t>
        </is>
      </c>
      <c r="M3" t="inlineStr">
        <is>
          <t>Research/Full-Time</t>
        </is>
      </c>
      <c r="N3" t="inlineStr">
        <is>
          <t>2026-07-03</t>
        </is>
      </c>
      <c r="O3" t="inlineStr">
        <is>
          <t>Academics.com / Helmholtz</t>
        </is>
      </c>
      <c r="P3" t="b">
        <v>0</v>
      </c>
      <c r="Q3" t="inlineStr"/>
      <c r="R3" t="inlineStr"/>
      <c r="S3" t="n">
        <v>86</v>
      </c>
      <c r="T3" t="inlineStr">
        <is>
          <t>Overall match: 86%; Education: 80%, Skills: 100%, Programming: 73%; Research: 80%, Experience: 70%; Strengths: Python programming, HPC background, Optimization methods expertise; Missing: mpi, openmp, fortran</t>
        </is>
      </c>
      <c r="U3" t="inlineStr">
        <is>
          <t>Python programming, HPC background, Optimization methods expertise</t>
        </is>
      </c>
      <c r="V3" t="inlineStr">
        <is>
          <t>proceed</t>
        </is>
      </c>
      <c r="W3">
        <f>HYPERLINK("C:\Users\ASWA\Music\Playlists\project Job\generated\CV\tex\Karlsruher_Institut_für_Technologie_KIT_Helmholtz__Research_Software_Engineer_fmd_HPC_RSE.tex","Open Resume Tex")</f>
        <v/>
      </c>
      <c r="X3">
        <f>HYPERLINK("C:\Users\ASWA\Music\Playlists\project Job\generated\CV\pdf\Karlsruher_Institut_für_Technologie_KIT_Helmholtz__Research_Software_Engineer_fmd_HPC_RSE.pdf","Open Resume Pdf")</f>
        <v/>
      </c>
      <c r="Y3">
        <f>HYPERLINK("C:\Users\ASWA\Music\Playlists\project Job\generated\CoverLetters\docx\Karlsruher_Institut_für_Technologie_KIT_Helmholtz__Research_Software_Engineer_fmd_HPC_RSE_CoverLetter.docx","Open Cover Letter")</f>
        <v/>
      </c>
      <c r="Z3" t="inlineStr">
        <is>
          <t>2026-06-27T20:41:29.070486</t>
        </is>
      </c>
    </row>
    <row r="4">
      <c r="A4" t="n">
        <v>3</v>
      </c>
      <c r="B4" t="n">
        <v>88</v>
      </c>
      <c r="C4" t="inlineStr">
        <is>
          <t>Forschungszentrum Jülich (JSC)</t>
        </is>
      </c>
      <c r="D4" t="inlineStr">
        <is>
          <t>Research Software Engineer</t>
        </is>
      </c>
      <c r="E4" t="inlineStr">
        <is>
          <t>Jülich, Germany</t>
        </is>
      </c>
      <c r="F4" t="inlineStr">
        <is>
          <t>2026-03-23</t>
        </is>
      </c>
      <c r="G4" t="inlineStr">
        <is>
          <t>Support software developers within the Helmholtz Association by providing advice in RSE and HPC. Create RSE training courses, collect knowledge and technologies, evaluate new trends for software developers, and actively participate in national and international RSE activities. Take responsibility for existing research software and help advance it.</t>
        </is>
      </c>
      <c r="H4" t="inlineStr">
        <is>
          <t>Master's degree in CS, natural sciences, engineering or related; Modern software engineering practices; Experience with research software; Training experience in RSE/HPC; English proficiency; Communication and teamwork skills</t>
        </is>
      </c>
      <c r="I4" t="inlineStr">
        <is>
          <t>HPC experience; Python, C++, FORTRAN, Go, MPI, OpenMP; German language skills; Publications; Community engagement</t>
        </is>
      </c>
      <c r="J4" t="inlineStr">
        <is>
          <t>https://society-rse.org/job/forschungszentrum-julich-julich-research-software-engineer/</t>
        </is>
      </c>
      <c r="K4" t="inlineStr">
        <is>
          <t>Python (Advanced), HPC, Scientific Computing, Linux, Git, Software Engineering, Optimization Methods, Research</t>
        </is>
      </c>
      <c r="L4" t="inlineStr">
        <is>
          <t>mpi, openmp, fortran</t>
        </is>
      </c>
      <c r="M4" t="inlineStr">
        <is>
          <t>Research/Full-Time</t>
        </is>
      </c>
      <c r="N4" t="inlineStr">
        <is>
          <t>Closed (reference for future openings)</t>
        </is>
      </c>
      <c r="O4" t="inlineStr">
        <is>
          <t>Society of RSE / FZJ</t>
        </is>
      </c>
      <c r="P4" t="b">
        <v>0</v>
      </c>
      <c r="Q4" t="inlineStr"/>
      <c r="R4" t="inlineStr"/>
      <c r="S4" t="n">
        <v>86</v>
      </c>
      <c r="T4" t="inlineStr">
        <is>
          <t>Overall match: 86%; Education: 80%, Skills: 100%, Programming: 73%; Research: 80%, Experience: 70%; Strengths: Python programming, HPC background, Optimization methods expertise; Missing: mpi, openmp, fortran</t>
        </is>
      </c>
      <c r="U4" t="inlineStr">
        <is>
          <t>Python programming, HPC background, Optimization methods expertise</t>
        </is>
      </c>
      <c r="V4" t="inlineStr">
        <is>
          <t>proceed</t>
        </is>
      </c>
      <c r="W4">
        <f>HYPERLINK("C:\Users\ASWA\Music\Playlists\project Job\generated\CV\tex\Forschungszentrum_Jülich_JSC_Research_Software_Engineer.tex","Open Resume Tex")</f>
        <v/>
      </c>
      <c r="X4">
        <f>HYPERLINK("C:\Users\ASWA\Music\Playlists\project Job\generated\CV\pdf\Forschungszentrum_Jülich_JSC_Research_Software_Engineer.pdf","Open Resume Pdf")</f>
        <v/>
      </c>
      <c r="Y4">
        <f>HYPERLINK("C:\Users\ASWA\Music\Playlists\project Job\generated\CoverLetters\docx\Forschungszentrum_Jülich_JSC_Research_Software_Engineer_CoverLetter.docx","Open Cover Letter")</f>
        <v/>
      </c>
      <c r="Z4" t="inlineStr">
        <is>
          <t>2026-06-27T20:41:28.816015</t>
        </is>
      </c>
    </row>
    <row r="5">
      <c r="A5" t="n">
        <v>4</v>
      </c>
      <c r="B5" t="n">
        <v>86</v>
      </c>
      <c r="C5" t="inlineStr">
        <is>
          <t>University of Stuttgart / HLRS (SFB 1313)</t>
        </is>
      </c>
      <c r="D5" t="inlineStr">
        <is>
          <t>Research Scientist with focus on HPC, AI, and training (f/m/d)</t>
        </is>
      </c>
      <c r="E5" t="inlineStr">
        <is>
          <t>Stuttgart, Germany</t>
        </is>
      </c>
      <c r="F5" t="inlineStr">
        <is>
          <t>2026-05-15</t>
        </is>
      </c>
      <c r="G5" t="inlineStr">
        <is>
          <t>Research and training in HPC, AI, and scientific computing within the SimTech Cluster of Excellence and SFB 1313. Focus on AI-driven simulation, HPC training programs, and interdisciplinary research.</t>
        </is>
      </c>
      <c r="H5" t="inlineStr">
        <is>
          <t>Master's or PhD in Computer Science, Engineering, or related field; Strong programming skills (Python, C/C++); Experience in HPC, AI/ML, or scientific computing; Teaching/training interest; English proficiency</t>
        </is>
      </c>
      <c r="I5" t="inlineStr">
        <is>
          <t>GPU programming (CUDA); Publications in HPC/AI; German language skills; Experience with simulation software</t>
        </is>
      </c>
      <c r="J5" t="inlineStr">
        <is>
          <t>https://www.hlrs.de</t>
        </is>
      </c>
      <c r="K5" t="inlineStr">
        <is>
          <t>HPC, AI, Python, Scientific Computing, Optimization Methods, System Design, Training interest</t>
        </is>
      </c>
      <c r="L5" t="inlineStr">
        <is>
          <t>cuda</t>
        </is>
      </c>
      <c r="M5" t="inlineStr">
        <is>
          <t>Research Position (TV-L 13)</t>
        </is>
      </c>
      <c r="N5" t="inlineStr">
        <is>
          <t>Rolling</t>
        </is>
      </c>
      <c r="O5" t="inlineStr">
        <is>
          <t>LinkedIn / HLRS</t>
        </is>
      </c>
      <c r="P5" t="b">
        <v>0</v>
      </c>
      <c r="Q5" t="inlineStr"/>
      <c r="R5" t="inlineStr"/>
      <c r="S5" t="n">
        <v>85</v>
      </c>
      <c r="T5" t="inlineStr">
        <is>
          <t>Overall match: 85%; Education: 70%, Skills: 100%, Programming: 100%; Research: 80%, Experience: 40%; Strengths: Python programming, HPC background, Optimization methods expertise; Missing: cuda</t>
        </is>
      </c>
      <c r="U5" t="inlineStr">
        <is>
          <t>Python programming, HPC background, Optimization methods expertise</t>
        </is>
      </c>
      <c r="V5" t="inlineStr">
        <is>
          <t>proceed</t>
        </is>
      </c>
      <c r="W5">
        <f>HYPERLINK("C:\Users\ASWA\Music\Playlists\project Job\generated\CV\tex\University_of_Stuttgart_HLRS_SFB_1313_Research_Scientist_with_focus_on_HPC_AI_and_traini.tex","Open Resume Tex")</f>
        <v/>
      </c>
      <c r="X5">
        <f>HYPERLINK("C:\Users\ASWA\Music\Playlists\project Job\generated\CV\pdf\University_of_Stuttgart_HLRS_SFB_1313_Research_Scientist_with_focus_on_HPC_AI_and_traini.pdf","Open Resume Pdf")</f>
        <v/>
      </c>
      <c r="Y5">
        <f>HYPERLINK("C:\Users\ASWA\Music\Playlists\project Job\generated\CoverLetters\docx\University_of_Stuttgart_HLRS_SFB_1313_Research_Scientist_with_focus_on_HPC_AI_and_traini_CoverLetter.docx","Open Cover Letter")</f>
        <v/>
      </c>
      <c r="Z5" t="inlineStr">
        <is>
          <t>2026-06-27T20:41:28.701206</t>
        </is>
      </c>
    </row>
    <row r="6">
      <c r="A6" t="n">
        <v>5</v>
      </c>
      <c r="B6" t="n">
        <v>85</v>
      </c>
      <c r="C6" t="inlineStr">
        <is>
          <t>German Climate Computing Center (DKRZ)</t>
        </is>
      </c>
      <c r="D6" t="inlineStr">
        <is>
          <t>Research Software Engineer - Coupled Climate Models on GPU-based HPC Systems</t>
        </is>
      </c>
      <c r="E6" t="inlineStr">
        <is>
          <t>Hamburg, Germany</t>
        </is>
      </c>
      <c r="F6" t="inlineStr">
        <is>
          <t>2026-05-20</t>
        </is>
      </c>
      <c r="G6" t="inlineStr">
        <is>
          <t>Port and optimize coupled climate models to GPU-based HPC systems. Develop performance analysis tools, optimize parallel algorithms, and support climate research on next-generation supercomputers.</t>
        </is>
      </c>
      <c r="H6" t="inlineStr">
        <is>
          <t>Degree in Computer Science, Physics, or related field; Strong programming (Python, Fortran, C/C++); HPC and parallel computing experience; GPU programming; Scientific computing background</t>
        </is>
      </c>
      <c r="I6" t="inlineStr">
        <is>
          <t>Climate modeling experience; MPI/OpenMP; CUDA/OpenACC; Publications; German language skills</t>
        </is>
      </c>
      <c r="J6" t="inlineStr">
        <is>
          <t>https://www.dkrz.de</t>
        </is>
      </c>
      <c r="K6" t="inlineStr">
        <is>
          <t>HPC, GPU, Python, Scientific Computing, Numerical Analysis, Optimization</t>
        </is>
      </c>
      <c r="L6" t="inlineStr">
        <is>
          <t>mpi, openmp, cuda, fortran</t>
        </is>
      </c>
      <c r="M6" t="inlineStr">
        <is>
          <t>Research Position</t>
        </is>
      </c>
      <c r="N6" t="inlineStr">
        <is>
          <t>Rolling</t>
        </is>
      </c>
      <c r="O6" t="inlineStr">
        <is>
          <t>LinkedIn / DKRZ</t>
        </is>
      </c>
      <c r="P6" t="b">
        <v>0</v>
      </c>
      <c r="Q6" t="inlineStr"/>
      <c r="R6" t="inlineStr"/>
      <c r="S6" t="n">
        <v>77</v>
      </c>
      <c r="T6" t="inlineStr">
        <is>
          <t>Overall match: 77%; Education: 50%, Skills: 100%, Programming: 73%; Research: 80%, Experience: 40%; Strengths: Python programming, HPC background, Optimization methods expertise; Missing: mpi, openmp, cuda, fortran</t>
        </is>
      </c>
      <c r="U6" t="inlineStr">
        <is>
          <t>Python programming, HPC background, Optimization methods expertise</t>
        </is>
      </c>
      <c r="V6" t="inlineStr">
        <is>
          <t>proceed</t>
        </is>
      </c>
      <c r="W6">
        <f>HYPERLINK("C:\Users\ASWA\Music\Playlists\project Job\generated\CV\tex\German_Climate_Computing_Center_DKRZ_Research_Software_Engineer_Coupled_Climate_Models_.tex","Open Resume Tex")</f>
        <v/>
      </c>
      <c r="X6">
        <f>HYPERLINK("C:\Users\ASWA\Music\Playlists\project Job\generated\CV\pdf\German_Climate_Computing_Center_DKRZ_Research_Software_Engineer_Coupled_Climate_Models_.pdf","Open Resume Pdf")</f>
        <v/>
      </c>
      <c r="Y6">
        <f>HYPERLINK("C:\Users\ASWA\Music\Playlists\project Job\generated\CoverLetters\docx\German_Climate_Computing_Center_DKRZ_Research_Software_Engineer_Coupled_Climate_Models__CoverLetter.docx","Open Cover Letter")</f>
        <v/>
      </c>
      <c r="Z6" t="inlineStr">
        <is>
          <t>2026-06-27T20:41:33.375791</t>
        </is>
      </c>
    </row>
    <row r="7">
      <c r="A7" t="n">
        <v>6</v>
      </c>
      <c r="B7" t="n">
        <v>84</v>
      </c>
      <c r="C7" t="inlineStr">
        <is>
          <t>Barcelona Supercomputing Center (BSC-CNS)</t>
        </is>
      </c>
      <c r="D7" t="inlineStr">
        <is>
          <t>HPC Workflows Engineer (RE1-RE2)</t>
        </is>
      </c>
      <c r="E7" t="inlineStr">
        <is>
          <t>Barcelona, Spain</t>
        </is>
      </c>
      <c r="F7" t="inlineStr">
        <is>
          <t>2026-06-02</t>
        </is>
      </c>
      <c r="G7" t="inlineStr">
        <is>
          <t>Design, develop and maintain HPC workflow management systems for scientific applications on MareNostrum. Support researchers in workflow optimization, containerization, and reproducible research.</t>
        </is>
      </c>
      <c r="H7" t="inlineStr">
        <is>
          <t>Degree in Computer Science or related field; Programming (Python, Bash); HPC workflow experience; Linux; Git; Containerization (Docker/Singularity); English proficiency</t>
        </is>
      </c>
      <c r="I7" t="inlineStr">
        <is>
          <t>Workflow engines (CWL, Nextflow, Snakemake); PhD; Spanish/Catalan; EU project experience</t>
        </is>
      </c>
      <c r="J7" t="inlineStr">
        <is>
          <t>https://www.bsc.es/join-us/job-opportunities</t>
        </is>
      </c>
      <c r="K7" t="inlineStr">
        <is>
          <t>HPC, Python, Linux, Git, Workflow concepts, Scientific Computing</t>
        </is>
      </c>
      <c r="L7" t="inlineStr">
        <is>
          <t>docker</t>
        </is>
      </c>
      <c r="M7" t="inlineStr">
        <is>
          <t>Research Engineer</t>
        </is>
      </c>
      <c r="N7" t="inlineStr">
        <is>
          <t>2026-06-25</t>
        </is>
      </c>
      <c r="O7" t="inlineStr">
        <is>
          <t>BSC Careers</t>
        </is>
      </c>
      <c r="P7" t="b">
        <v>0</v>
      </c>
      <c r="Q7" t="inlineStr"/>
      <c r="R7" t="inlineStr"/>
      <c r="S7" t="n">
        <v>76.5</v>
      </c>
      <c r="T7" t="inlineStr">
        <is>
          <t>Overall match: 76%; Education: 40%, Skills: 90%, Programming: 100%; Research: 90%, Experience: 40%; Strengths: Python programming, HPC background, Optimization methods expertise; Missing: docker</t>
        </is>
      </c>
      <c r="U7" t="inlineStr">
        <is>
          <t>Python programming, HPC background, Optimization methods expertise</t>
        </is>
      </c>
      <c r="V7" t="inlineStr">
        <is>
          <t>proceed</t>
        </is>
      </c>
      <c r="W7">
        <f>HYPERLINK("C:\Users\ASWA\Music\Playlists\project Job\generated\CV\tex\Barcelona_Supercomputing_Center_BSC_CNS_HPC_Workflows_Engineer_RE1_RE2.tex","Open Resume Tex")</f>
        <v/>
      </c>
      <c r="X7">
        <f>HYPERLINK("C:\Users\ASWA\Music\Playlists\project Job\generated\CV\pdf\Barcelona_Supercomputing_Center_BSC_CNS_HPC_Workflows_Engineer_RE1_RE2.pdf","Open Resume Pdf")</f>
        <v/>
      </c>
      <c r="Y7">
        <f>HYPERLINK("C:\Users\ASWA\Music\Playlists\project Job\generated\CoverLetters\docx\Barcelona_Supercomputing_Center_BSC_CNS_HPC_Workflows_Engineer_RE1_RE2_CoverLetter.docx","Open Cover Letter")</f>
        <v/>
      </c>
      <c r="Z7" t="inlineStr">
        <is>
          <t>2026-06-27T20:41:33.394654</t>
        </is>
      </c>
    </row>
    <row r="8">
      <c r="A8" t="n">
        <v>7</v>
      </c>
      <c r="B8" t="n">
        <v>83</v>
      </c>
      <c r="C8" t="inlineStr">
        <is>
          <t>Barcelona Supercomputing Center (BSC-CNS)</t>
        </is>
      </c>
      <c r="D8" t="inlineStr">
        <is>
          <t>Machine Learning Engineer (RE2) – AI Factory (Earth Sciences)</t>
        </is>
      </c>
      <c r="E8" t="inlineStr">
        <is>
          <t>Barcelona, Spain</t>
        </is>
      </c>
      <c r="F8" t="inlineStr">
        <is>
          <t>2026-06-02</t>
        </is>
      </c>
      <c r="G8" t="inlineStr">
        <is>
          <t>Develop and deploy ML models for earth science applications using HPC resources. Work on climate modeling, air quality prediction, and environmental data analysis using AI techniques.</t>
        </is>
      </c>
      <c r="H8" t="inlineStr">
        <is>
          <t>Master's or PhD in Computer Science, Data Science, or related field; Python, PyTorch/TensorFlow; ML/DL experience; HPC familiarity; Data analysis skills</t>
        </is>
      </c>
      <c r="I8" t="inlineStr">
        <is>
          <t>Earth science domain knowledge; GPU computing; Publications; Spanish/Catalan</t>
        </is>
      </c>
      <c r="J8" t="inlineStr">
        <is>
          <t>https://www.bsc.es/join-us/job-opportunities</t>
        </is>
      </c>
      <c r="K8" t="inlineStr">
        <is>
          <t>Python, ML, PyTorch, HPC, Data Analysis, Scientific Computing</t>
        </is>
      </c>
      <c r="L8" t="inlineStr">
        <is>
          <t>Earth science domain expertise, Advanced ML ops, Spanish/Catalan</t>
        </is>
      </c>
      <c r="M8" t="inlineStr">
        <is>
          <t>Research Engineer</t>
        </is>
      </c>
      <c r="N8" t="inlineStr">
        <is>
          <t>2026-06-27</t>
        </is>
      </c>
      <c r="O8" t="inlineStr">
        <is>
          <t>BSC Careers</t>
        </is>
      </c>
      <c r="P8" t="b">
        <v>1</v>
      </c>
      <c r="Q8" t="n">
        <v>5</v>
      </c>
      <c r="R8" t="inlineStr">
        <is>
          <t>Exact URL match</t>
        </is>
      </c>
      <c r="S8" t="inlineStr"/>
      <c r="T8" t="inlineStr"/>
      <c r="U8" t="inlineStr"/>
      <c r="V8" t="inlineStr"/>
      <c r="W8" t="inlineStr"/>
      <c r="X8" t="inlineStr"/>
      <c r="Y8" t="inlineStr"/>
      <c r="Z8" t="inlineStr"/>
    </row>
    <row r="9">
      <c r="A9" t="n">
        <v>8</v>
      </c>
      <c r="B9" t="n">
        <v>82</v>
      </c>
      <c r="C9" t="inlineStr">
        <is>
          <t>Barcelona Supercomputing Center (BSC-CNS)</t>
        </is>
      </c>
      <c r="D9" t="inlineStr">
        <is>
          <t>Researcher Engineering - Edge and Cloud Computing Technologies (RE2)</t>
        </is>
      </c>
      <c r="E9" t="inlineStr">
        <is>
          <t>Barcelona, Spain</t>
        </is>
      </c>
      <c r="F9" t="inlineStr">
        <is>
          <t>2026-06-02</t>
        </is>
      </c>
      <c r="G9" t="inlineStr">
        <is>
          <t>Research and develop edge and cloud computing technologies for HPC and distributed systems. Focus on container orchestration, edge-to-cloud workflows, and hybrid computing architectures.</t>
        </is>
      </c>
      <c r="H9" t="inlineStr">
        <is>
          <t>Degree in Computer Science or related; Python, C/C++; Cloud computing knowledge; Distributed systems; Containerization; English proficiency</t>
        </is>
      </c>
      <c r="I9" t="inlineStr">
        <is>
          <t>Kubernetes; Edge computing frameworks; DevOps; PhD; Spanish/Catalan</t>
        </is>
      </c>
      <c r="J9" t="inlineStr">
        <is>
          <t>https://www.bsc.es/join-us/job-opportunities</t>
        </is>
      </c>
      <c r="K9" t="inlineStr">
        <is>
          <t>Cloud Computing, Distributed Systems, Python, HPC, Linux, Git</t>
        </is>
      </c>
      <c r="L9" t="inlineStr">
        <is>
          <t>Kubernetes, Edge computing frameworks, DevOps, Spanish/Catalan</t>
        </is>
      </c>
      <c r="M9" t="inlineStr">
        <is>
          <t>Research Engineer</t>
        </is>
      </c>
      <c r="N9" t="inlineStr">
        <is>
          <t>2026-06-27</t>
        </is>
      </c>
      <c r="O9" t="inlineStr">
        <is>
          <t>BSC Careers</t>
        </is>
      </c>
      <c r="P9" t="b">
        <v>1</v>
      </c>
      <c r="Q9" t="n">
        <v>5</v>
      </c>
      <c r="R9" t="inlineStr">
        <is>
          <t>Exact URL match</t>
        </is>
      </c>
      <c r="S9" t="inlineStr"/>
      <c r="T9" t="inlineStr"/>
      <c r="U9" t="inlineStr"/>
      <c r="V9" t="inlineStr"/>
      <c r="W9" t="inlineStr"/>
      <c r="X9" t="inlineStr"/>
      <c r="Y9" t="inlineStr"/>
      <c r="Z9" t="inlineStr"/>
    </row>
    <row r="10">
      <c r="A10" t="n">
        <v>9</v>
      </c>
      <c r="B10" t="n">
        <v>81</v>
      </c>
      <c r="C10" t="inlineStr">
        <is>
          <t>Barcelona Supercomputing Center (BSC-CNS)</t>
        </is>
      </c>
      <c r="D10" t="inlineStr">
        <is>
          <t>High-Performance Computing Support Engineer</t>
        </is>
      </c>
      <c r="E10" t="inlineStr">
        <is>
          <t>Barcelona, Spain</t>
        </is>
      </c>
      <c r="F10" t="inlineStr">
        <is>
          <t>2026-06-02</t>
        </is>
      </c>
      <c r="G10" t="inlineStr">
        <is>
          <t>Provide technical support for HPC users on MareNostrum. Troubleshoot job submissions, optimize resource usage, maintain documentation, and assist with user training.</t>
        </is>
      </c>
      <c r="H10" t="inlineStr">
        <is>
          <t>Degree in Computer Science or related; Linux system administration; HPC environments; Python/Bash scripting; User support experience; English proficiency</t>
        </is>
      </c>
      <c r="I10" t="inlineStr">
        <is>
          <t>Slurm/PBS workload managers; Lustre/GPFS; Spanish/Catalan; Prior HPC support experience</t>
        </is>
      </c>
      <c r="J10" t="inlineStr">
        <is>
          <t>https://www.bsc.es/join-us/job-opportunities</t>
        </is>
      </c>
      <c r="K10" t="inlineStr">
        <is>
          <t>HPC, Linux, Python, System Administration, Technical Support</t>
        </is>
      </c>
      <c r="L10" t="inlineStr">
        <is>
          <t>Advanced Linux admin, Slurm/PBS, Lustre/GPFS, Spanish/Catalan</t>
        </is>
      </c>
      <c r="M10" t="inlineStr">
        <is>
          <t>Engineering</t>
        </is>
      </c>
      <c r="N10" t="inlineStr">
        <is>
          <t>2026-06-30</t>
        </is>
      </c>
      <c r="O10" t="inlineStr">
        <is>
          <t>BSC Careers</t>
        </is>
      </c>
      <c r="P10" t="b">
        <v>1</v>
      </c>
      <c r="Q10" t="n">
        <v>5</v>
      </c>
      <c r="R10" t="inlineStr">
        <is>
          <t>Exact URL match</t>
        </is>
      </c>
      <c r="S10" t="inlineStr"/>
      <c r="T10" t="inlineStr"/>
      <c r="U10" t="inlineStr"/>
      <c r="V10" t="inlineStr"/>
      <c r="W10" t="inlineStr"/>
      <c r="X10" t="inlineStr"/>
      <c r="Y10" t="inlineStr"/>
      <c r="Z10" t="inlineStr"/>
    </row>
    <row r="11">
      <c r="A11" t="n">
        <v>10</v>
      </c>
      <c r="B11" t="n">
        <v>80</v>
      </c>
      <c r="C11" t="inlineStr">
        <is>
          <t>Zuse Institute Berlin (ZIB)</t>
        </is>
      </c>
      <c r="D11" t="inlineStr">
        <is>
          <t>System Administrator HPC (w/m/d)</t>
        </is>
      </c>
      <c r="E11" t="inlineStr">
        <is>
          <t>Berlin, Germany</t>
        </is>
      </c>
      <c r="F11" t="inlineStr">
        <is>
          <t>2026-05-15</t>
        </is>
      </c>
      <c r="G11" t="inlineStr">
        <is>
          <t>Administer and maintain HPC clusters at ZIB. Manage Linux systems, network infrastructure, storage systems, and support scientific computing users.</t>
        </is>
      </c>
      <c r="H11" t="inlineStr">
        <is>
          <t>Degree in Computer Science or related; Linux system administration; HPC cluster management; Network administration; Scripting (Python, Bash); German (B1+) and English</t>
        </is>
      </c>
      <c r="I11" t="inlineStr">
        <is>
          <t>HPC scheduler experience (Slurm); Storage systems (Lustre); Configuration management (Ansible/Puppet); German B2+</t>
        </is>
      </c>
      <c r="J11" t="inlineStr">
        <is>
          <t>https://www.zib.de</t>
        </is>
      </c>
      <c r="K11" t="inlineStr">
        <is>
          <t>HPC, Linux, System Administration, Python, Scripting</t>
        </is>
      </c>
      <c r="L11" t="inlineStr">
        <is>
          <t>slurm, lustre</t>
        </is>
      </c>
      <c r="M11" t="inlineStr">
        <is>
          <t>Engineering</t>
        </is>
      </c>
      <c r="N11" t="inlineStr">
        <is>
          <t>Rolling</t>
        </is>
      </c>
      <c r="O11" t="inlineStr">
        <is>
          <t>LinkedIn / ZIB</t>
        </is>
      </c>
      <c r="P11" t="b">
        <v>0</v>
      </c>
      <c r="Q11" t="inlineStr"/>
      <c r="R11" t="inlineStr"/>
      <c r="S11" t="n">
        <v>82.5</v>
      </c>
      <c r="T11" t="inlineStr">
        <is>
          <t>Overall match: 82%; Education: 50%, Skills: 100%, Programming: 100%; Research: 90%, Experience: 40%; Strengths: Python programming, HPC background; Missing: slurm, lustre</t>
        </is>
      </c>
      <c r="U11" t="inlineStr">
        <is>
          <t>Python programming, HPC background</t>
        </is>
      </c>
      <c r="V11" t="inlineStr">
        <is>
          <t>proceed</t>
        </is>
      </c>
      <c r="W11">
        <f>HYPERLINK("C:\Users\ASWA\Music\Playlists\project Job\generated\CV\tex\Zuse_Institute_Berlin_ZIB_System_Administrator_HPC_wmd.tex","Open Resume Tex")</f>
        <v/>
      </c>
      <c r="X11">
        <f>HYPERLINK("C:\Users\ASWA\Music\Playlists\project Job\generated\CV\pdf\Zuse_Institute_Berlin_ZIB_System_Administrator_HPC_wmd.pdf","Open Resume Pdf")</f>
        <v/>
      </c>
      <c r="Y11">
        <f>HYPERLINK("C:\Users\ASWA\Music\Playlists\project Job\generated\CoverLetters\docx\Zuse_Institute_Berlin_ZIB_System_Administrator_HPC_wmd_CoverLetter.docx","Open Cover Letter")</f>
        <v/>
      </c>
      <c r="Z11" t="inlineStr">
        <is>
          <t>2026-06-27T20:41:33.418461</t>
        </is>
      </c>
    </row>
    <row r="12">
      <c r="A12" t="n">
        <v>11</v>
      </c>
      <c r="B12" t="n">
        <v>79</v>
      </c>
      <c r="C12" t="inlineStr">
        <is>
          <t>NVIDIA</t>
        </is>
      </c>
      <c r="D12" t="inlineStr">
        <is>
          <t>Senior Software Architect - Deep Learning and HPC Communications</t>
        </is>
      </c>
      <c r="E12" t="inlineStr">
        <is>
          <t>Hamburg, Germany</t>
        </is>
      </c>
      <c r="F12" t="inlineStr">
        <is>
          <t>2026-06-10</t>
        </is>
      </c>
      <c r="G12" t="inlineStr">
        <is>
          <t>Design and optimize deep learning and HPC communication libraries (NCCL, NVSHMEM). Work on GPU-GPU communication, collective operations, and performance optimization for large-scale AI/HPC systems.</t>
        </is>
      </c>
      <c r="H12" t="inlineStr">
        <is>
          <t>5+ years experience; C/C++ expertise; CUDA; Deep Learning frameworks; HPC communications (MPI, NCCL); GPU programming; Performance optimization</t>
        </is>
      </c>
      <c r="I12" t="inlineStr">
        <is>
          <t>PhD in CS/Engineering; Publications; Experience with large-scale GPU clusters; German language skills</t>
        </is>
      </c>
      <c r="J12" t="inlineStr">
        <is>
          <t>https://www.nvidia.com</t>
        </is>
      </c>
      <c r="K12" t="inlineStr">
        <is>
          <t>HPC, Deep Learning, Python, C++, GPU concepts, Performance Optimization</t>
        </is>
      </c>
      <c r="L12" t="inlineStr">
        <is>
          <t>mpi, cuda</t>
        </is>
      </c>
      <c r="M12" t="inlineStr">
        <is>
          <t>Senior</t>
        </is>
      </c>
      <c r="N12" t="inlineStr">
        <is>
          <t>Rolling</t>
        </is>
      </c>
      <c r="O12" t="inlineStr">
        <is>
          <t>LinkedIn / NVIDIA</t>
        </is>
      </c>
      <c r="P12" t="b">
        <v>0</v>
      </c>
      <c r="Q12" t="inlineStr"/>
      <c r="R12" t="inlineStr"/>
      <c r="S12" t="n">
        <v>79</v>
      </c>
      <c r="T12" t="inlineStr">
        <is>
          <t>Overall match: 79%; Education: 40%, Skills: 100%, Programming: 100%; Research: 80%, Experience: 40%; Strengths: Python programming, HPC background, Optimization methods expertise; Missing: mpi, cuda</t>
        </is>
      </c>
      <c r="U12" t="inlineStr">
        <is>
          <t>Python programming, HPC background, Optimization methods expertise</t>
        </is>
      </c>
      <c r="V12" t="inlineStr">
        <is>
          <t>proceed</t>
        </is>
      </c>
      <c r="W12">
        <f>HYPERLINK("C:\Users\ASWA\Music\Playlists\project Job\generated\CV\tex\NVIDIA_Senior_Software_Architect_Deep_Learning_and_HPC_Co.tex","Open Resume Tex")</f>
        <v/>
      </c>
      <c r="X12">
        <f>HYPERLINK("C:\Users\ASWA\Music\Playlists\project Job\generated\CV\pdf\NVIDIA_Senior_Software_Architect_Deep_Learning_and_HPC_Co.pdf","Open Resume Pdf")</f>
        <v/>
      </c>
      <c r="Y12">
        <f>HYPERLINK("C:\Users\ASWA\Music\Playlists\project Job\generated\CoverLetters\docx\NVIDIA_Senior_Software_Architect_Deep_Learning_and_HPC_Co_CoverLetter.docx","Open Cover Letter")</f>
        <v/>
      </c>
      <c r="Z12" t="inlineStr">
        <is>
          <t>2026-06-27T20:41:33.474394</t>
        </is>
      </c>
    </row>
    <row r="13">
      <c r="A13" t="n">
        <v>12</v>
      </c>
      <c r="B13" t="n">
        <v>78</v>
      </c>
      <c r="C13" t="inlineStr">
        <is>
          <t>Helmholtz-Zentrum Dresden-Rossendorf (HZDR) / CASUS</t>
        </is>
      </c>
      <c r="D13" t="inlineStr">
        <is>
          <t>PhD Student (f/m/d) for HPC/GPU Computing</t>
        </is>
      </c>
      <c r="E13" t="inlineStr">
        <is>
          <t>Görlitz, Saxony, Germany</t>
        </is>
      </c>
      <c r="F13" t="inlineStr">
        <is>
          <t>2026-04-24</t>
        </is>
      </c>
      <c r="G13" t="inlineStr">
        <is>
          <t>Research in GPU programming and highly parallel programming for HPC and Scientific Computing. Active contribution to Open Source Scientific Community codes. Working with application field scientists from various fields and their ambitious HPC codes. Own research focus on GPU programming: parallel programming models, parallel algorithms, performance/scalability analysis, or AI-assisted programming for parallel processing/GPUs.</t>
        </is>
      </c>
      <c r="H13" t="inlineStr">
        <is>
          <t>Master's degree in Computer Science, Mathematics, Physics, or related; Strong programming skills (C/C++, Python); Interest in GPU programming and parallel computing; English proficiency; Research motivation</t>
        </is>
      </c>
      <c r="I13" t="inlineStr">
        <is>
          <t>CUDA/OpenCL experience; Publications; HPC background; German language skills; Open source contributions</t>
        </is>
      </c>
      <c r="J13" t="inlineStr">
        <is>
          <t>https://www.hzdr.de/job2225en</t>
        </is>
      </c>
      <c r="K13" t="inlineStr">
        <is>
          <t>HPC, GPU, Python, C/C++, Scientific Computing, Parallel Computing, Research, Optimization</t>
        </is>
      </c>
      <c r="L13" t="inlineStr">
        <is>
          <t>cuda</t>
        </is>
      </c>
      <c r="M13" t="inlineStr">
        <is>
          <t>PhD (3 years, 75% TVöD E13)</t>
        </is>
      </c>
      <c r="N13" t="inlineStr">
        <is>
          <t>2026-06-30</t>
        </is>
      </c>
      <c r="O13" t="inlineStr">
        <is>
          <t>HZDR Careers</t>
        </is>
      </c>
      <c r="P13" t="b">
        <v>0</v>
      </c>
      <c r="Q13" t="inlineStr"/>
      <c r="R13" t="inlineStr"/>
      <c r="S13" t="n">
        <v>88</v>
      </c>
      <c r="T13" t="inlineStr">
        <is>
          <t>Overall match: 88%; Education: 70%, Skills: 100%, Programming: 100%; Research: 80%, Experience: 70%; Strengths: Python programming, HPC background, Optimization methods expertise; Missing: cuda</t>
        </is>
      </c>
      <c r="U13" t="inlineStr">
        <is>
          <t>Python programming, HPC background, Optimization methods expertise</t>
        </is>
      </c>
      <c r="V13" t="inlineStr">
        <is>
          <t>proceed</t>
        </is>
      </c>
      <c r="W13">
        <f>HYPERLINK("C:\Users\ASWA\Music\Playlists\project Job\generated\CV\tex\Helmholtz_Zentrum_Dresden_Rossendorf_HZDR_CASUS_PhD_Student_fmd_for_HPCGPU_Computing.tex","Open Resume Tex")</f>
        <v/>
      </c>
      <c r="X13">
        <f>HYPERLINK("C:\Users\ASWA\Music\Playlists\project Job\generated\CV\pdf\Helmholtz_Zentrum_Dresden_Rossendorf_HZDR_CASUS_PhD_Student_fmd_for_HPCGPU_Computing.pdf","Open Resume Pdf")</f>
        <v/>
      </c>
      <c r="Y13">
        <f>HYPERLINK("C:\Users\ASWA\Music\Playlists\project Job\generated\CoverLetters\docx\Helmholtz_Zentrum_Dresden_Rossendorf_HZDR_CASUS_PhD_Student_fmd_for_HPCGPU_Computing_CoverLetter.docx","Open Cover Letter")</f>
        <v/>
      </c>
      <c r="Z13" t="inlineStr">
        <is>
          <t>2026-06-27T20:41:37.511395</t>
        </is>
      </c>
    </row>
    <row r="14">
      <c r="A14" t="n">
        <v>13</v>
      </c>
      <c r="B14" t="n">
        <v>76</v>
      </c>
      <c r="C14" t="inlineStr">
        <is>
          <t>Helmholtz-Zentrum Dresden-Rossendorf (HZDR) / CASUS</t>
        </is>
      </c>
      <c r="D14" t="inlineStr">
        <is>
          <t>Postdoc (f/m/d) for HPC/GPU Computing</t>
        </is>
      </c>
      <c r="E14" t="inlineStr">
        <is>
          <t>Görlitz, Saxony, Germany</t>
        </is>
      </c>
      <c r="F14" t="inlineStr">
        <is>
          <t>2026-04-24</t>
        </is>
      </c>
      <c r="G14" t="inlineStr">
        <is>
          <t>Postdoctoral research in GPU programming and highly parallel programming for HPC and Scientific Computing. Lead research projects, mentor PhD students, contribute to open source scientific codes, and collaborate with application scientists.</t>
        </is>
      </c>
      <c r="H14" t="inlineStr">
        <is>
          <t>PhD in Computer Science, Mathematics, Physics, or related; Strong programming (C/C++, Python); GPU programming experience; HPC background; Publications; English proficiency</t>
        </is>
      </c>
      <c r="I14" t="inlineStr">
        <is>
          <t>CUDA/OpenCL; MPI; OpenMP; Team leadership; German language skills; Grant writing experience</t>
        </is>
      </c>
      <c r="J14" t="inlineStr">
        <is>
          <t>https://www.hzdr.de</t>
        </is>
      </c>
      <c r="K14" t="inlineStr">
        <is>
          <t>HPC, GPU, Python, C/C++, Scientific Computing, Research, Publications</t>
        </is>
      </c>
      <c r="L14" t="inlineStr">
        <is>
          <t>mpi, openmp, cuda</t>
        </is>
      </c>
      <c r="M14" t="inlineStr">
        <is>
          <t>Postdoc</t>
        </is>
      </c>
      <c r="N14" t="inlineStr">
        <is>
          <t>2026-06-30</t>
        </is>
      </c>
      <c r="O14" t="inlineStr">
        <is>
          <t>HZDR Careers</t>
        </is>
      </c>
      <c r="P14" t="b">
        <v>0</v>
      </c>
      <c r="Q14" t="inlineStr"/>
      <c r="R14" t="inlineStr"/>
      <c r="S14" t="n">
        <v>82</v>
      </c>
      <c r="T14" t="inlineStr">
        <is>
          <t>Overall match: 82%; Education: 40%, Skills: 100%, Programming: 100%; Research: 80%, Experience: 70%; Strengths: Python programming, HPC background; Missing: mpi, openmp, cuda</t>
        </is>
      </c>
      <c r="U14" t="inlineStr">
        <is>
          <t>Python programming, HPC background</t>
        </is>
      </c>
      <c r="V14" t="inlineStr">
        <is>
          <t>proceed</t>
        </is>
      </c>
      <c r="W14">
        <f>HYPERLINK("C:\Users\ASWA\Music\Playlists\project Job\generated\CV\tex\Helmholtz_Zentrum_Dresden_Rossendorf_HZDR_CASUS_Postdoc_fmd_for_HPCGPU_Computing.tex","Open Resume Tex")</f>
        <v/>
      </c>
      <c r="X14">
        <f>HYPERLINK("C:\Users\ASWA\Music\Playlists\project Job\generated\CV\pdf\Helmholtz_Zentrum_Dresden_Rossendorf_HZDR_CASUS_Postdoc_fmd_for_HPCGPU_Computing.pdf","Open Resume Pdf")</f>
        <v/>
      </c>
      <c r="Y14">
        <f>HYPERLINK("C:\Users\ASWA\Music\Playlists\project Job\generated\CoverLetters\docx\Helmholtz_Zentrum_Dresden_Rossendorf_HZDR_CASUS_Postdoc_fmd_for_HPCGPU_Computing_CoverLetter.docx","Open Cover Letter")</f>
        <v/>
      </c>
      <c r="Z14" t="inlineStr">
        <is>
          <t>2026-06-27T20:41:37.534068</t>
        </is>
      </c>
    </row>
    <row r="15">
      <c r="A15" t="n">
        <v>14</v>
      </c>
      <c r="B15" t="n">
        <v>75</v>
      </c>
      <c r="C15" t="inlineStr">
        <is>
          <t>Mistral AI</t>
        </is>
      </c>
      <c r="D15" t="inlineStr">
        <is>
          <t>Systems Engineer, HPC</t>
        </is>
      </c>
      <c r="E15" t="inlineStr">
        <is>
          <t>Berlin/Frankfurt, Germany</t>
        </is>
      </c>
      <c r="F15" t="inlineStr">
        <is>
          <t>2026-04-15</t>
        </is>
      </c>
      <c r="G15" t="inlineStr">
        <is>
          <t>Build and maintain HPC infrastructure for large language model training. Manage GPU clusters, optimize distributed training, and develop MLOps pipelines for AI model development.</t>
        </is>
      </c>
      <c r="H15" t="inlineStr">
        <is>
          <t>Experience with HPC systems; GPU cluster management; Distributed systems; Python; Linux; MLOps; Containerization (Kubernetes/Docker)</t>
        </is>
      </c>
      <c r="I15" t="inlineStr">
        <is>
          <t>LLM training experience; PyTorch distributed; NCCL; InfiniBand; German language skills</t>
        </is>
      </c>
      <c r="J15" t="inlineStr">
        <is>
          <t>https://mistral.ai</t>
        </is>
      </c>
      <c r="K15" t="inlineStr">
        <is>
          <t>HPC, Systems Engineering, Python, Distributed Systems, Linux, Git</t>
        </is>
      </c>
      <c r="L15" t="inlineStr">
        <is>
          <t>kubernetes, docker</t>
        </is>
      </c>
      <c r="M15" t="inlineStr">
        <is>
          <t>Engineering</t>
        </is>
      </c>
      <c r="N15" t="inlineStr">
        <is>
          <t>Rolling</t>
        </is>
      </c>
      <c r="O15" t="inlineStr">
        <is>
          <t>LinkedIn / Mistral AI</t>
        </is>
      </c>
      <c r="P15" t="b">
        <v>0</v>
      </c>
      <c r="Q15" t="inlineStr"/>
      <c r="R15" t="inlineStr"/>
      <c r="S15" t="n">
        <v>75.5</v>
      </c>
      <c r="T15" t="inlineStr">
        <is>
          <t>Overall match: 76%; Education: 50%, Skills: 90%, Programming: 100%; Research: 70%, Experience: 40%; Strengths: Python programming, HPC background; Missing: kubernetes, docker</t>
        </is>
      </c>
      <c r="U15" t="inlineStr">
        <is>
          <t>Python programming, HPC background</t>
        </is>
      </c>
      <c r="V15" t="inlineStr">
        <is>
          <t>proceed</t>
        </is>
      </c>
      <c r="W15">
        <f>HYPERLINK("C:\Users\ASWA\Music\Playlists\project Job\generated\CV\tex\Mistral_AI_Systems_Engineer_HPC.tex","Open Resume Tex")</f>
        <v/>
      </c>
      <c r="X15">
        <f>HYPERLINK("C:\Users\ASWA\Music\Playlists\project Job\generated\CV\pdf\Mistral_AI_Systems_Engineer_HPC.pdf","Open Resume Pdf")</f>
        <v/>
      </c>
      <c r="Y15">
        <f>HYPERLINK("C:\Users\ASWA\Music\Playlists\project Job\generated\CoverLetters\docx\Mistral_AI_Systems_Engineer_HPC_CoverLetter.docx","Open Cover Letter")</f>
        <v/>
      </c>
      <c r="Z15" t="inlineStr">
        <is>
          <t>2026-06-27T20:41:37.725618</t>
        </is>
      </c>
    </row>
    <row r="16">
      <c r="A16" t="n">
        <v>15</v>
      </c>
      <c r="B16" t="n">
        <v>74</v>
      </c>
      <c r="C16" t="inlineStr">
        <is>
          <t>Technische Universität Dresden</t>
        </is>
      </c>
      <c r="D16" t="inlineStr">
        <is>
          <t>Research Associate / HPC System Software Engineer (m/f/x)</t>
        </is>
      </c>
      <c r="E16" t="inlineStr">
        <is>
          <t>Dresden, Germany</t>
        </is>
      </c>
      <c r="F16" t="inlineStr">
        <is>
          <t>2025-11-15</t>
        </is>
      </c>
      <c r="G16" t="inlineStr">
        <is>
          <t>Research and develop system software for HPC architectures. Focus on operating systems, runtime systems, and performance optimization for parallel computing environments.</t>
        </is>
      </c>
      <c r="H16" t="inlineStr">
        <is>
          <t>Master's or PhD in Computer Science; C/C++ programming; Linux kernel; HPC system software; Parallel programming; English proficiency</t>
        </is>
      </c>
      <c r="I16" t="inlineStr">
        <is>
          <t>Kernel programming; MPI; OpenMP; Publications; German language skills</t>
        </is>
      </c>
      <c r="J16" t="inlineStr">
        <is>
          <t>https://www.tu-dresden.de</t>
        </is>
      </c>
      <c r="K16" t="inlineStr">
        <is>
          <t>HPC, System Software, Linux, Python, C, Research interest</t>
        </is>
      </c>
      <c r="L16" t="inlineStr">
        <is>
          <t>mpi, openmp</t>
        </is>
      </c>
      <c r="M16" t="inlineStr">
        <is>
          <t>Research</t>
        </is>
      </c>
      <c r="N16" t="inlineStr">
        <is>
          <t>Rolling</t>
        </is>
      </c>
      <c r="O16" t="inlineStr">
        <is>
          <t>LinkedIn / TU Dresden</t>
        </is>
      </c>
      <c r="P16" t="b">
        <v>0</v>
      </c>
      <c r="Q16" t="inlineStr"/>
      <c r="R16" t="inlineStr"/>
      <c r="S16" t="n">
        <v>81</v>
      </c>
      <c r="T16" t="inlineStr">
        <is>
          <t>Overall match: 81%; Education: 70%, Skills: 100%, Programming: 73%; Research: 80%, Experience: 40%; Strengths: Python programming, HPC background, Optimization methods expertise; Missing: mpi, openmp</t>
        </is>
      </c>
      <c r="U16" t="inlineStr">
        <is>
          <t>Python programming, HPC background, Optimization methods expertise</t>
        </is>
      </c>
      <c r="V16" t="inlineStr">
        <is>
          <t>proceed</t>
        </is>
      </c>
      <c r="W16">
        <f>HYPERLINK("C:\Users\ASWA\Music\Playlists\project Job\generated\CV\tex\Technische_Universität_Dresden_Research_Associate_HPC_System_Software_Engineer_mf.tex","Open Resume Tex")</f>
        <v/>
      </c>
      <c r="X16">
        <f>HYPERLINK("C:\Users\ASWA\Music\Playlists\project Job\generated\CV\pdf\Technische_Universität_Dresden_Research_Associate_HPC_System_Software_Engineer_mf.pdf","Open Resume Pdf")</f>
        <v/>
      </c>
      <c r="Y16">
        <f>HYPERLINK("C:\Users\ASWA\Music\Playlists\project Job\generated\CoverLetters\docx\Technische_Universität_Dresden_Research_Associate_HPC_System_Software_Engineer_mf_CoverLetter.docx","Open Cover Letter")</f>
        <v/>
      </c>
      <c r="Z16" t="inlineStr">
        <is>
          <t>2026-06-27T20:41:37.656148</t>
        </is>
      </c>
    </row>
    <row r="17">
      <c r="A17" t="n">
        <v>16</v>
      </c>
      <c r="B17" t="n">
        <v>73</v>
      </c>
      <c r="C17" t="inlineStr">
        <is>
          <t>German Aerospace Center (DLR)</t>
        </is>
      </c>
      <c r="D17" t="inlineStr">
        <is>
          <t>C++ Software Developer (w/m/d) - FSDM and HPC Optimization</t>
        </is>
      </c>
      <c r="E17" t="inlineStr">
        <is>
          <t>Dresden, Germany</t>
        </is>
      </c>
      <c r="F17" t="inlineStr">
        <is>
          <t>2026-01-15</t>
        </is>
      </c>
      <c r="G17" t="inlineStr">
        <is>
          <t>Develop and optimize C++ software for flight simulation and data management (FSDM) with HPC focus. Work on parallel algorithms, performance optimization, and aerospace simulation.</t>
        </is>
      </c>
      <c r="H17" t="inlineStr">
        <is>
          <t>Degree in Computer Science, Engineering, or related; C++ programming; HPC optimization; Parallel computing; Software engineering practices</t>
        </is>
      </c>
      <c r="I17" t="inlineStr">
        <is>
          <t>Aerospace domain knowledge; Fortran; MPI; GPU programming; German language skills</t>
        </is>
      </c>
      <c r="J17" t="inlineStr">
        <is>
          <t>https://www.dlr.de</t>
        </is>
      </c>
      <c r="K17" t="inlineStr">
        <is>
          <t>C++, HPC, Optimization, Python, Scientific Computing, Software Engineering</t>
        </is>
      </c>
      <c r="L17" t="inlineStr">
        <is>
          <t>mpi, fortran</t>
        </is>
      </c>
      <c r="M17" t="inlineStr">
        <is>
          <t>Engineering</t>
        </is>
      </c>
      <c r="N17" t="inlineStr">
        <is>
          <t>Rolling</t>
        </is>
      </c>
      <c r="O17" t="inlineStr">
        <is>
          <t>LinkedIn / DLR</t>
        </is>
      </c>
      <c r="P17" t="b">
        <v>0</v>
      </c>
      <c r="Q17" t="inlineStr"/>
      <c r="R17" t="inlineStr"/>
      <c r="S17" t="n">
        <v>78.5</v>
      </c>
      <c r="T17" t="inlineStr">
        <is>
          <t>Overall match: 78%; Education: 50%, Skills: 100%, Programming: 73%; Research: 90%, Experience: 40%; Strengths: Python programming, HPC background, Optimization methods expertise; Missing: mpi, fortran</t>
        </is>
      </c>
      <c r="U17" t="inlineStr">
        <is>
          <t>Python programming, HPC background, Optimization methods expertise</t>
        </is>
      </c>
      <c r="V17" t="inlineStr">
        <is>
          <t>proceed</t>
        </is>
      </c>
      <c r="W17">
        <f>HYPERLINK("C:\Users\ASWA\Music\Playlists\project Job\generated\CV\tex\German_Aerospace_Center_DLR_C_Software_Developer_wmd_FSDM_and_HPC_Optimization.tex","Open Resume Tex")</f>
        <v/>
      </c>
      <c r="X17">
        <f>HYPERLINK("C:\Users\ASWA\Music\Playlists\project Job\generated\CV\pdf\German_Aerospace_Center_DLR_C_Software_Developer_wmd_FSDM_and_HPC_Optimization.pdf","Open Resume Pdf")</f>
        <v/>
      </c>
      <c r="Y17">
        <f>HYPERLINK("C:\Users\ASWA\Music\Playlists\project Job\generated\CoverLetters\docx\German_Aerospace_Center_DLR_C_Software_Developer_wmd_FSDM_and_HPC_Optimization_CoverLetter.docx","Open Cover Letter")</f>
        <v/>
      </c>
      <c r="Z17" t="inlineStr">
        <is>
          <t>2026-06-27T20:41:41.896498</t>
        </is>
      </c>
    </row>
    <row r="18">
      <c r="A18" t="n">
        <v>17</v>
      </c>
      <c r="B18" t="n">
        <v>72</v>
      </c>
      <c r="C18" t="inlineStr">
        <is>
          <t>ACONEXT</t>
        </is>
      </c>
      <c r="D18" t="inlineStr">
        <is>
          <t>System Engineer Linux / HPC (m/w/d)</t>
        </is>
      </c>
      <c r="E18" t="inlineStr">
        <is>
          <t>Munich, Germany</t>
        </is>
      </c>
      <c r="F18" t="inlineStr">
        <is>
          <t>2025-11-20</t>
        </is>
      </c>
      <c r="G18" t="inlineStr">
        <is>
          <t>Design, implement and maintain Linux and HPC infrastructure for customers. Provide technical consulting, system integration, and support for HPC environments.</t>
        </is>
      </c>
      <c r="H18" t="inlineStr">
        <is>
          <t>Degree in IT/Computer Science or related; Linux system engineering; HPC experience; Customer-facing skills; German (B2+) and English</t>
        </is>
      </c>
      <c r="I18" t="inlineStr">
        <is>
          <t>ITIL certification; Storage systems; Network administration; Project management; Additional languages</t>
        </is>
      </c>
      <c r="J18" t="inlineStr">
        <is>
          <t>https://www.aconext.com</t>
        </is>
      </c>
      <c r="K18" t="inlineStr">
        <is>
          <t>Linux, HPC, System Engineering, Python, Technical Communication</t>
        </is>
      </c>
      <c r="L18" t="inlineStr"/>
      <c r="M18" t="inlineStr">
        <is>
          <t>Engineering</t>
        </is>
      </c>
      <c r="N18" t="inlineStr">
        <is>
          <t>Rolling</t>
        </is>
      </c>
      <c r="O18" t="inlineStr">
        <is>
          <t>LinkedIn / ACONEXT</t>
        </is>
      </c>
      <c r="P18" t="b">
        <v>0</v>
      </c>
      <c r="Q18" t="inlineStr"/>
      <c r="R18" t="inlineStr"/>
      <c r="S18" t="n">
        <v>79.5</v>
      </c>
      <c r="T18" t="inlineStr">
        <is>
          <t>Overall match: 80%; Education: 50%, Skills: 100%, Programming: 100%; Research: 70%, Experience: 40%; Strengths: Python programming, HPC background</t>
        </is>
      </c>
      <c r="U18" t="inlineStr">
        <is>
          <t>Python programming, HPC background</t>
        </is>
      </c>
      <c r="V18" t="inlineStr">
        <is>
          <t>proceed</t>
        </is>
      </c>
      <c r="W18">
        <f>HYPERLINK("C:\Users\ASWA\Music\Playlists\project Job\generated\CV\tex\ACONEXT_System_Engineer_Linux_HPC_mwd.tex","Open Resume Tex")</f>
        <v/>
      </c>
      <c r="X18">
        <f>HYPERLINK("C:\Users\ASWA\Music\Playlists\project Job\generated\CV\pdf\ACONEXT_System_Engineer_Linux_HPC_mwd.pdf","Open Resume Pdf")</f>
        <v/>
      </c>
      <c r="Y18">
        <f>HYPERLINK("C:\Users\ASWA\Music\Playlists\project Job\generated\CoverLetters\docx\ACONEXT_System_Engineer_Linux_HPC_mwd_CoverLetter.docx","Open Cover Letter")</f>
        <v/>
      </c>
      <c r="Z18" t="inlineStr">
        <is>
          <t>2026-06-27T20:41:41.976066</t>
        </is>
      </c>
    </row>
    <row r="19">
      <c r="A19" t="n">
        <v>18</v>
      </c>
      <c r="B19" t="n">
        <v>71</v>
      </c>
      <c r="C19" t="inlineStr">
        <is>
          <t>Max Planck Institute (Munich Quantum Valley / IMPRS-QST)</t>
        </is>
      </c>
      <c r="D19" t="inlineStr">
        <is>
          <t>PhD / IMPRS Doctoral Fellowships in Quantum Science and Technology</t>
        </is>
      </c>
      <c r="E19" t="inlineStr">
        <is>
          <t>Munich, Germany</t>
        </is>
      </c>
      <c r="F19" t="inlineStr">
        <is>
          <t>2025-10-30</t>
        </is>
      </c>
      <c r="G19" t="inlineStr">
        <is>
          <t>Doctoral research in quantum science and technology within the Munich Quantum Valley and Max Planck IMPRS program. Research areas include quantum computing, quantum simulation, atomic and solid-state physics, quantum optics, information theory and quantum engineering.</t>
        </is>
      </c>
      <c r="H19" t="inlineStr">
        <is>
          <t>Master's degree in Physics, Computer Science, or related; Strong quantum mechanics background; Programming (Python, C++); Research interest; English proficiency</t>
        </is>
      </c>
      <c r="I19" t="inlineStr">
        <is>
          <t>Publications; Quantum SDKs (Qiskit/Cirq); German language skills; Experimental experience</t>
        </is>
      </c>
      <c r="J19" t="inlineStr">
        <is>
          <t>https://www.munich-quantum-center.de/news-and-events/news/imprs-mqv-phd-2025.html</t>
        </is>
      </c>
      <c r="K19" t="inlineStr">
        <is>
          <t>Quantum Computing, Physics, HPC, Python, Research, Optimization Methods</t>
        </is>
      </c>
      <c r="L19" t="inlineStr">
        <is>
          <t>qiskit, cirq</t>
        </is>
      </c>
      <c r="M19" t="inlineStr">
        <is>
          <t>PhD Fellowship (Fall 2026)</t>
        </is>
      </c>
      <c r="N19" t="inlineStr">
        <is>
          <t>Fall 2026 (next call)</t>
        </is>
      </c>
      <c r="O19" t="inlineStr">
        <is>
          <t>Munich Quantum Center</t>
        </is>
      </c>
      <c r="P19" t="b">
        <v>0</v>
      </c>
      <c r="Q19" t="inlineStr"/>
      <c r="R19" t="inlineStr"/>
      <c r="S19" t="n">
        <v>85</v>
      </c>
      <c r="T19" t="inlineStr">
        <is>
          <t>Overall match: 85%; Education: 70%, Skills: 100%, Programming: 100%; Research: 80%, Experience: 40%; Strengths: Python programming, HPC background, Quantum computing knowledge, Optimization methods expertise; Missing: qiskit, cirq</t>
        </is>
      </c>
      <c r="U19" t="inlineStr">
        <is>
          <t>Python programming, HPC background, Quantum computing knowledge, Optimization methods expertise</t>
        </is>
      </c>
      <c r="V19" t="inlineStr">
        <is>
          <t>proceed</t>
        </is>
      </c>
      <c r="W19">
        <f>HYPERLINK("C:\Users\ASWA\Music\Playlists\project Job\generated\CV\tex\Max_Planck_Institute_Munich_Quantum_Valley_IMPRS_Q_PhD_IMPRS_Doctoral_Fellowships_in_Quantum_Science_.tex","Open Resume Tex")</f>
        <v/>
      </c>
      <c r="X19">
        <f>HYPERLINK("C:\Users\ASWA\Music\Playlists\project Job\generated\CV\pdf\Max_Planck_Institute_Munich_Quantum_Valley_IMPRS_Q_PhD_IMPRS_Doctoral_Fellowships_in_Quantum_Science_.pdf","Open Resume Pdf")</f>
        <v/>
      </c>
      <c r="Y19">
        <f>HYPERLINK("C:\Users\ASWA\Music\Playlists\project Job\generated\CoverLetters\docx\Max_Planck_Institute_Munich_Quantum_Valley_IMPRS_Q_PhD_IMPRS_Doctoral_Fellowships_in_Quantum_Science__CoverLetter.docx","Open Cover Letter")</f>
        <v/>
      </c>
      <c r="Z19" t="inlineStr">
        <is>
          <t>2026-06-27T20:41:42.033673</t>
        </is>
      </c>
    </row>
    <row r="20">
      <c r="A20" t="n">
        <v>19</v>
      </c>
      <c r="B20" t="n">
        <v>70</v>
      </c>
      <c r="C20" t="inlineStr">
        <is>
          <t>Forschungszentrum Jülich (ICE-1)</t>
        </is>
      </c>
      <c r="D20" t="inlineStr">
        <is>
          <t>Master Thesis – Hybrid ML + LLM-based Fault Detection and Explainability for Smart Building IoT Systems</t>
        </is>
      </c>
      <c r="E20" t="inlineStr">
        <is>
          <t>Jülich, Germany</t>
        </is>
      </c>
      <c r="F20" t="inlineStr">
        <is>
          <t>2026-06-06</t>
        </is>
      </c>
      <c r="G20" t="inlineStr">
        <is>
          <t>Develop hybrid ML and LLM-based approaches for fault detection and explainability in smart building IoT systems. Combine traditional ML with large language models for improved interpretability.</t>
        </is>
      </c>
      <c r="H20" t="inlineStr">
        <is>
          <t>Master's student in Computer Science, Data Science, or related; Python; ML/LLM experience; Data analysis; English proficiency</t>
        </is>
      </c>
      <c r="I20" t="inlineStr">
        <is>
          <t>IoT domain knowledge; PyTorch/TensorFlow; NLP experience; German language skills</t>
        </is>
      </c>
      <c r="J20" t="inlineStr">
        <is>
          <t>https://www.fz-juelich.de</t>
        </is>
      </c>
      <c r="K20" t="inlineStr">
        <is>
          <t>Python, ML, LLM, Data Analysis, IoT concepts, Research</t>
        </is>
      </c>
      <c r="L20" t="inlineStr"/>
      <c r="M20" t="inlineStr">
        <is>
          <t>Master Thesis</t>
        </is>
      </c>
      <c r="N20" t="inlineStr">
        <is>
          <t>Rolling</t>
        </is>
      </c>
      <c r="O20" t="inlineStr">
        <is>
          <t>FZJ Careers</t>
        </is>
      </c>
      <c r="P20" t="b">
        <v>0</v>
      </c>
      <c r="Q20" t="inlineStr"/>
      <c r="R20" t="inlineStr"/>
      <c r="S20" t="n">
        <v>88.5</v>
      </c>
      <c r="T20" t="inlineStr">
        <is>
          <t>Overall match: 88%; Education: 80%, Skills: 100%, Programming: 100%; Research: 70%, Experience: 70%; Strengths: Python programming</t>
        </is>
      </c>
      <c r="U20" t="inlineStr">
        <is>
          <t>Python programming</t>
        </is>
      </c>
      <c r="V20" t="inlineStr">
        <is>
          <t>proceed</t>
        </is>
      </c>
      <c r="W20">
        <f>HYPERLINK("C:\Users\ASWA\Music\Playlists\project Job\generated\CV\tex\Forschungszentrum_Jülich_ICE_1_Master_Thesis_Hybrid_ML_LLM_based_Fault_Detection_.tex","Open Resume Tex")</f>
        <v/>
      </c>
      <c r="X20">
        <f>HYPERLINK("C:\Users\ASWA\Music\Playlists\project Job\generated\CV\pdf\Forschungszentrum_Jülich_ICE_1_Master_Thesis_Hybrid_ML_LLM_based_Fault_Detection_.pdf","Open Resume Pdf")</f>
        <v/>
      </c>
      <c r="Y20">
        <f>HYPERLINK("C:\Users\ASWA\Music\Playlists\project Job\generated\CoverLetters\docx\Forschungszentrum_Jülich_ICE_1_Master_Thesis_Hybrid_ML_LLM_based_Fault_Detection__CoverLetter.docx","Open Cover Letter")</f>
        <v/>
      </c>
      <c r="Z20" t="inlineStr">
        <is>
          <t>2026-06-27T20:41:42.156589</t>
        </is>
      </c>
    </row>
    <row r="21">
      <c r="A21" t="n">
        <v>20</v>
      </c>
      <c r="B21" t="n">
        <v>69</v>
      </c>
      <c r="C21" t="inlineStr">
        <is>
          <t>Forschungszentrum Jülich (PGI-13)</t>
        </is>
      </c>
      <c r="D21" t="inlineStr">
        <is>
          <t>PhD Position – Development of Scalable Superconducting Quantum Systems</t>
        </is>
      </c>
      <c r="E21" t="inlineStr">
        <is>
          <t>Aachen, Germany</t>
        </is>
      </c>
      <c r="F21" t="inlineStr">
        <is>
          <t>2026-06-06</t>
        </is>
      </c>
      <c r="G21" t="inlineStr">
        <is>
          <t>Research scalable superconducting quantum systems for quantum computing. Focus on qubit design, cryogenic systems, and quantum hardware development.</t>
        </is>
      </c>
      <c r="H21" t="inlineStr">
        <is>
          <t>Master's in Physics, Engineering, or related; Quantum mechanics; Solid-state physics; Programming (Python); Research interest; English proficiency</t>
        </is>
      </c>
      <c r="I21" t="inlineStr">
        <is>
          <t>Cryogenics experience; Superconducting circuits; Publications; German language skills</t>
        </is>
      </c>
      <c r="J21" t="inlineStr">
        <is>
          <t>https://www.fz-juelich.de</t>
        </is>
      </c>
      <c r="K21" t="inlineStr">
        <is>
          <t>Quantum Computing, Physics, HPC, Python, Research</t>
        </is>
      </c>
      <c r="L21" t="inlineStr">
        <is>
          <t>Physics PhD, Cryogenics, Superconducting circuits, Advanced quantum hardware</t>
        </is>
      </c>
      <c r="M21" t="inlineStr">
        <is>
          <t>PhD Position</t>
        </is>
      </c>
      <c r="N21" t="inlineStr">
        <is>
          <t>Rolling</t>
        </is>
      </c>
      <c r="O21" t="inlineStr">
        <is>
          <t>FZJ Careers</t>
        </is>
      </c>
      <c r="P21" t="b">
        <v>1</v>
      </c>
      <c r="Q21" t="n">
        <v>18</v>
      </c>
      <c r="R21" t="inlineStr">
        <is>
          <t>Exact URL match</t>
        </is>
      </c>
      <c r="S21" t="inlineStr"/>
      <c r="T21" t="inlineStr"/>
      <c r="U21" t="inlineStr"/>
      <c r="V21" t="inlineStr"/>
      <c r="W21" t="inlineStr"/>
      <c r="X21" t="inlineStr"/>
      <c r="Y21" t="inlineStr"/>
      <c r="Z21" t="inlineStr"/>
    </row>
    <row r="22">
      <c r="A22" t="n">
        <v>21</v>
      </c>
      <c r="B22" t="n">
        <v>68</v>
      </c>
      <c r="C22" t="inlineStr">
        <is>
          <t>Forschungszentrum Jülich (IBG-3)</t>
        </is>
      </c>
      <c r="D22" t="inlineStr">
        <is>
          <t>Scientific Programmer for Numerical Modeling and Inversion of Geophysical Data</t>
        </is>
      </c>
      <c r="E22" t="inlineStr">
        <is>
          <t>Jülich, Germany</t>
        </is>
      </c>
      <c r="F22" t="inlineStr">
        <is>
          <t>2026-06-06</t>
        </is>
      </c>
      <c r="G22" t="inlineStr">
        <is>
          <t>Develop numerical modeling and inversion algorithms for geophysical data. Work on computational geophysics, inverse problems, and large-scale data processing.</t>
        </is>
      </c>
      <c r="H22" t="inlineStr">
        <is>
          <t>Degree in Geophysics, Physics, Computer Science, or related; Python; Numerical modeling; Inverse problems; Linux; English proficiency</t>
        </is>
      </c>
      <c r="I22" t="inlineStr">
        <is>
          <t>Geophysics domain knowledge; MATLAB; MPI; GPU computing; Publications; German language skills</t>
        </is>
      </c>
      <c r="J22" t="inlineStr">
        <is>
          <t>https://www.fz-juelich.de</t>
        </is>
      </c>
      <c r="K22" t="inlineStr">
        <is>
          <t>Python, Numerical Modeling, Scientific Computing, Linux, Data Processing</t>
        </is>
      </c>
      <c r="L22" t="inlineStr">
        <is>
          <t>Geophysics domain, Inversion methods, MATLAB, MPI</t>
        </is>
      </c>
      <c r="M22" t="inlineStr">
        <is>
          <t>Research</t>
        </is>
      </c>
      <c r="N22" t="inlineStr">
        <is>
          <t>Rolling</t>
        </is>
      </c>
      <c r="O22" t="inlineStr">
        <is>
          <t>FZJ Careers</t>
        </is>
      </c>
      <c r="P22" t="b">
        <v>1</v>
      </c>
      <c r="Q22" t="n">
        <v>18</v>
      </c>
      <c r="R22" t="inlineStr">
        <is>
          <t>Exact URL match</t>
        </is>
      </c>
      <c r="S22" t="inlineStr"/>
      <c r="T22" t="inlineStr"/>
      <c r="U22" t="inlineStr"/>
      <c r="V22" t="inlineStr"/>
      <c r="W22" t="inlineStr"/>
      <c r="X22" t="inlineStr"/>
      <c r="Y22" t="inlineStr"/>
      <c r="Z22" t="inlineStr"/>
    </row>
    <row r="23">
      <c r="A23" t="n">
        <v>22</v>
      </c>
      <c r="B23" t="n">
        <v>67</v>
      </c>
      <c r="C23" t="inlineStr">
        <is>
          <t>CERN</t>
        </is>
      </c>
      <c r="D23" t="inlineStr">
        <is>
          <t>Software Engineer - High Performance Computing (EP-SFT-2026-137-LD)</t>
        </is>
      </c>
      <c r="E23" t="inlineStr">
        <is>
          <t>Geneva, Switzerland</t>
        </is>
      </c>
      <c r="F23" t="inlineStr">
        <is>
          <t>2026-06-15</t>
        </is>
      </c>
      <c r="G23" t="inlineStr">
        <is>
          <t>Develop and maintain HPC software for particle physics simulations. Work on GPU acceleration (CUDA/SYCL), performance optimization, and scientific software engineering for the LHC experiments.</t>
        </is>
      </c>
      <c r="H23" t="inlineStr">
        <is>
          <t>5+ years experience; C++ expertise; GPU programming (CUDA/SYCL); HPC; Scientific software; English proficiency; French beneficial</t>
        </is>
      </c>
      <c r="I23" t="inlineStr">
        <is>
          <t>PhD in Physics/CS; Particle physics knowledge; Publications; ROOT framework experience</t>
        </is>
      </c>
      <c r="J23" t="inlineStr">
        <is>
          <t>https://jobs.smartrecruiters.com/CERN</t>
        </is>
      </c>
      <c r="K23" t="inlineStr">
        <is>
          <t>C++, HPC, GPU, Python, Scientific Software, Performance Optimization</t>
        </is>
      </c>
      <c r="L23" t="inlineStr">
        <is>
          <t>cuda</t>
        </is>
      </c>
      <c r="M23" t="inlineStr">
        <is>
          <t>Engineering</t>
        </is>
      </c>
      <c r="N23" t="inlineStr">
        <is>
          <t>2026-07-20</t>
        </is>
      </c>
      <c r="O23" t="inlineStr">
        <is>
          <t>CERN Careers</t>
        </is>
      </c>
      <c r="P23" t="b">
        <v>0</v>
      </c>
      <c r="Q23" t="inlineStr"/>
      <c r="R23" t="inlineStr"/>
      <c r="S23" t="n">
        <v>79</v>
      </c>
      <c r="T23" t="inlineStr">
        <is>
          <t>Overall match: 79%; Education: 40%, Skills: 100%, Programming: 100%; Research: 80%, Experience: 40%; Strengths: Python programming, HPC background, Optimization methods expertise; Missing: cuda</t>
        </is>
      </c>
      <c r="U23" t="inlineStr">
        <is>
          <t>Python programming, HPC background, Optimization methods expertise</t>
        </is>
      </c>
      <c r="V23" t="inlineStr">
        <is>
          <t>proceed</t>
        </is>
      </c>
      <c r="W23">
        <f>HYPERLINK("C:\Users\ASWA\Music\Playlists\project Job\generated\CV\tex\CERN_Software_Engineer_High_Performance_Computing_EP_SF.tex","Open Resume Tex")</f>
        <v/>
      </c>
      <c r="X23">
        <f>HYPERLINK("C:\Users\ASWA\Music\Playlists\project Job\generated\CV\pdf\CERN_Software_Engineer_High_Performance_Computing_EP_SF.pdf","Open Resume Pdf")</f>
        <v/>
      </c>
      <c r="Y23">
        <f>HYPERLINK("C:\Users\ASWA\Music\Playlists\project Job\generated\CoverLetters\docx\CERN_Software_Engineer_High_Performance_Computing_EP_SF_CoverLetter.docx","Open Cover Letter")</f>
        <v/>
      </c>
      <c r="Z23" t="inlineStr">
        <is>
          <t>2026-06-27T20:41:45.943867</t>
        </is>
      </c>
    </row>
    <row r="24">
      <c r="A24" t="n">
        <v>23</v>
      </c>
      <c r="B24" t="n">
        <v>66</v>
      </c>
      <c r="C24" t="inlineStr">
        <is>
          <t>CERN</t>
        </is>
      </c>
      <c r="D24" t="inlineStr">
        <is>
          <t>Short Term Internship 2026 (Technical/Computing)</t>
        </is>
      </c>
      <c r="E24" t="inlineStr">
        <is>
          <t>Geneva, Switzerland</t>
        </is>
      </c>
      <c r="F24" t="inlineStr">
        <is>
          <t>2025-10-02</t>
        </is>
      </c>
      <c r="G24" t="inlineStr">
        <is>
          <t>Practical training internship at CERN in technical or administrative fields. Work on real projects in computing, applied physics, mathematics, engineering, or related areas. Duration 1-6 months.</t>
        </is>
      </c>
      <c r="H24" t="inlineStr">
        <is>
          <t>National of CERN Member or Associate Member State; Full-time student (Bachelor/Master); At least 18 years old; Main field in applied physics, computing, mathematics, engineering, or related; Good English and/or French; Remain full-time registered student</t>
        </is>
      </c>
      <c r="I24" t="inlineStr">
        <is>
          <t>Prior internship experience; Technical project portfolio; Multiple languages</t>
        </is>
      </c>
      <c r="J24" t="inlineStr">
        <is>
          <t>https://jobs.smartrecruiters.com/CERN/744000085340717-short-term-internship-2026</t>
        </is>
      </c>
      <c r="K24" t="inlineStr">
        <is>
          <t>Computing, Physics, Mathematics, Engineering, Research, Technical skills</t>
        </is>
      </c>
      <c r="L24" t="inlineStr"/>
      <c r="M24" t="inlineStr">
        <is>
          <t>Internship (1-6 months)</t>
        </is>
      </c>
      <c r="N24" t="inlineStr">
        <is>
          <t>Rolling</t>
        </is>
      </c>
      <c r="O24" t="inlineStr">
        <is>
          <t>CERN Careers</t>
        </is>
      </c>
      <c r="P24" t="b">
        <v>0</v>
      </c>
      <c r="Q24" t="inlineStr"/>
      <c r="R24" t="inlineStr"/>
      <c r="S24" t="n">
        <v>66</v>
      </c>
      <c r="T24" t="inlineStr">
        <is>
          <t>Overall match: 66%; Education: 100%, Skills: 50%, Programming: 70%; Research: 70%, Experience: 50%</t>
        </is>
      </c>
      <c r="U24" t="inlineStr"/>
      <c r="V24" t="inlineStr">
        <is>
          <t>proceed</t>
        </is>
      </c>
      <c r="W24">
        <f>HYPERLINK("C:\Users\ASWA\Music\Playlists\project Job\generated\CV\tex\CERN_Short_Term_Internship_2026_TechnicalComputing.tex","Open Resume Tex")</f>
        <v/>
      </c>
      <c r="X24">
        <f>HYPERLINK("C:\Users\ASWA\Music\Playlists\project Job\generated\CV\pdf\CERN_Short_Term_Internship_2026_TechnicalComputing.pdf","Open Resume Pdf")</f>
        <v/>
      </c>
      <c r="Y24">
        <f>HYPERLINK("C:\Users\ASWA\Music\Playlists\project Job\generated\CoverLetters\docx\CERN_Short_Term_Internship_2026_TechnicalComputing_CoverLetter.docx","Open Cover Letter")</f>
        <v/>
      </c>
      <c r="Z24" t="inlineStr">
        <is>
          <t>2026-06-27T20:41:46.047499</t>
        </is>
      </c>
    </row>
    <row r="25">
      <c r="A25" t="n">
        <v>24</v>
      </c>
      <c r="B25" t="n">
        <v>65</v>
      </c>
      <c r="C25" t="inlineStr">
        <is>
          <t>CERN (Openlab)</t>
        </is>
      </c>
      <c r="D25" t="inlineStr">
        <is>
          <t>CERN Openlab Summer Student Programme 2026</t>
        </is>
      </c>
      <c r="E25" t="inlineStr">
        <is>
          <t>Geneva, Switzerland</t>
        </is>
      </c>
      <c r="F25" t="inlineStr">
        <is>
          <t>2025-12-15</t>
        </is>
      </c>
      <c r="G25" t="inlineStr">
        <is>
          <t>9-week summer programme for bachelor's and master's students in computer science, mathematics, engineering, or physics. Work on cutting-edge computing projects with CERN collaborators. Projects related to HPC, AI, data science, and distributed computing.</t>
        </is>
      </c>
      <c r="H25" t="inlineStr">
        <is>
          <t>Bachelor's or Master's student (not PhD); Strong computing profile; Completed at least 6 semesters (3 years) of full-time university studies; Good English; Not previously worked at CERN &gt;3 months or participated in Summer Student Programme</t>
        </is>
      </c>
      <c r="I25" t="inlineStr">
        <is>
          <t>Programming projects; HPC/AI interest; Physics background; French</t>
        </is>
      </c>
      <c r="J25" t="inlineStr">
        <is>
          <t>https://openlab.cern/cern-openlab-summer-student-programme/</t>
        </is>
      </c>
      <c r="K25" t="inlineStr">
        <is>
          <t>Computing, HPC, AI, Python, Research, Physics, Mathematics</t>
        </is>
      </c>
      <c r="L25" t="inlineStr"/>
      <c r="M25" t="inlineStr">
        <is>
          <t>Summer Internship (9 weeks)</t>
        </is>
      </c>
      <c r="N25" t="inlineStr">
        <is>
          <t>2026-01-26 (CLOSED - reference for 2027)</t>
        </is>
      </c>
      <c r="O25" t="inlineStr">
        <is>
          <t>CERN Openlab</t>
        </is>
      </c>
      <c r="P25" t="b">
        <v>0</v>
      </c>
      <c r="Q25" t="inlineStr"/>
      <c r="R25" t="inlineStr"/>
      <c r="S25" t="n">
        <v>95.5</v>
      </c>
      <c r="T25" t="inlineStr">
        <is>
          <t>Overall match: 96%; Education: 90%, Skills: 100%, Programming: 100%; Research: 90%, Experience: 90%; Strengths: Python programming, HPC background</t>
        </is>
      </c>
      <c r="U25" t="inlineStr">
        <is>
          <t>Python programming, HPC background</t>
        </is>
      </c>
      <c r="V25" t="inlineStr">
        <is>
          <t>proceed</t>
        </is>
      </c>
      <c r="W25">
        <f>HYPERLINK("C:\Users\ASWA\Music\Playlists\project Job\generated\CV\tex\CERN_Openlab_CERN_Openlab_Summer_Student_Programme_2026.tex","Open Resume Tex")</f>
        <v/>
      </c>
      <c r="X25">
        <f>HYPERLINK("C:\Users\ASWA\Music\Playlists\project Job\generated\CV\pdf\CERN_Openlab_CERN_Openlab_Summer_Student_Programme_2026.pdf","Open Resume Pdf")</f>
        <v/>
      </c>
      <c r="Y25">
        <f>HYPERLINK("C:\Users\ASWA\Music\Playlists\project Job\generated\CoverLetters\docx\CERN_Openlab_CERN_Openlab_Summer_Student_Programme_2026_CoverLetter.docx","Open Cover Letter")</f>
        <v/>
      </c>
      <c r="Z25" t="inlineStr">
        <is>
          <t>2026-06-27T20:41:46.229113</t>
        </is>
      </c>
    </row>
    <row r="26">
      <c r="A26" t="n">
        <v>25</v>
      </c>
      <c r="B26" t="n">
        <v>64</v>
      </c>
      <c r="C26" t="inlineStr">
        <is>
          <t>Quantinuum</t>
        </is>
      </c>
      <c r="D26" t="inlineStr">
        <is>
          <t>Internship Opportunities - Quantum Software / ML / Algorithms</t>
        </is>
      </c>
      <c r="E26" t="inlineStr">
        <is>
          <t>Europe / Remote</t>
        </is>
      </c>
      <c r="F26" t="inlineStr">
        <is>
          <t>2026-04-01</t>
        </is>
      </c>
      <c r="G26" t="inlineStr">
        <is>
          <t>Internship in quantum software development, quantum machine learning, or quantum algorithms. Work on trapped-ion quantum computing platforms and quantum software stack.</t>
        </is>
      </c>
      <c r="H26" t="inlineStr">
        <is>
          <t>Master's or PhD student in Physics, CS, or related; Quantum computing knowledge; Python; ML/Algorithms experience; English proficiency</t>
        </is>
      </c>
      <c r="I26" t="inlineStr">
        <is>
          <t>Quantum SDKs (Qiskit, Cirq, PennyLane); Publications; Research experience; Trapped-ion knowledge</t>
        </is>
      </c>
      <c r="J26" t="inlineStr">
        <is>
          <t>https://jobs.eu.lever.co/quantinuum</t>
        </is>
      </c>
      <c r="K26" t="inlineStr">
        <is>
          <t>Quantum Computing, Python, ML, Algorithms, Research</t>
        </is>
      </c>
      <c r="L26" t="inlineStr">
        <is>
          <t>qiskit, cirq</t>
        </is>
      </c>
      <c r="M26" t="inlineStr">
        <is>
          <t>Internship</t>
        </is>
      </c>
      <c r="N26" t="inlineStr">
        <is>
          <t>Rolling</t>
        </is>
      </c>
      <c r="O26" t="inlineStr">
        <is>
          <t>Quantinuum Careers</t>
        </is>
      </c>
      <c r="P26" t="b">
        <v>0</v>
      </c>
      <c r="Q26" t="inlineStr"/>
      <c r="R26" t="inlineStr"/>
      <c r="S26" t="n">
        <v>88</v>
      </c>
      <c r="T26" t="inlineStr">
        <is>
          <t>Overall match: 88%; Education: 70%, Skills: 100%, Programming: 100%; Research: 80%, Experience: 70%; Strengths: Python programming, Quantum computing knowledge; Missing: qiskit, cirq</t>
        </is>
      </c>
      <c r="U26" t="inlineStr">
        <is>
          <t>Python programming, Quantum computing knowledge</t>
        </is>
      </c>
      <c r="V26" t="inlineStr">
        <is>
          <t>proceed</t>
        </is>
      </c>
      <c r="W26">
        <f>HYPERLINK("C:\Users\ASWA\Music\Playlists\project Job\generated\CV\tex\Quantinuum_Internship_Opportunities_Quantum_Software_ML_Algor.tex","Open Resume Tex")</f>
        <v/>
      </c>
      <c r="X26">
        <f>HYPERLINK("C:\Users\ASWA\Music\Playlists\project Job\generated\CV\pdf\Quantinuum_Internship_Opportunities_Quantum_Software_ML_Algor.pdf","Open Resume Pdf")</f>
        <v/>
      </c>
      <c r="Y26">
        <f>HYPERLINK("C:\Users\ASWA\Music\Playlists\project Job\generated\CoverLetters\docx\Quantinuum_Internship_Opportunities_Quantum_Software_ML_Algor_CoverLetter.docx","Open Cover Letter")</f>
        <v/>
      </c>
      <c r="Z26" t="inlineStr">
        <is>
          <t>2026-06-27T20:41:46.193313</t>
        </is>
      </c>
    </row>
    <row r="27">
      <c r="A27" t="n">
        <v>26</v>
      </c>
      <c r="B27" t="n">
        <v>63</v>
      </c>
      <c r="C27" t="inlineStr">
        <is>
          <t>EUMaster4HPC Consortium</t>
        </is>
      </c>
      <c r="D27" t="inlineStr">
        <is>
          <t>Master's Thesis / Internship (Multiple EU Locations)</t>
        </is>
      </c>
      <c r="E27" t="inlineStr">
        <is>
          <t>10 EU Countries (Germany, Spain, France, Italy, Sweden, etc.)</t>
        </is>
      </c>
      <c r="F27" t="inlineStr">
        <is>
          <t>2026-05-12</t>
        </is>
      </c>
      <c r="G27" t="inlineStr">
        <is>
          <t>Erasmus Mundus Joint Master's program in HPC. Second year includes specialization and Mastership (internship/thesis) at partner universities and supercomputing centers across Europe. Research or company internships in HPC, AI, quantum computing, and scientific computing.</t>
        </is>
      </c>
      <c r="H27" t="inlineStr">
        <is>
          <t>Bachelor's in CS, Engineering, or related; Programming (C, Python); Mathematics; English B2; Willingness to relocate to another EU country</t>
        </is>
      </c>
      <c r="I27" t="inlineStr">
        <is>
          <t>HPC experience; Parallel programming; GPU computing; Research interest</t>
        </is>
      </c>
      <c r="J27" t="inlineStr">
        <is>
          <t>https://eumaster4hpc.eu</t>
        </is>
      </c>
      <c r="K27" t="inlineStr">
        <is>
          <t>HPC, Scientific Computing, Python, C, Research, EU Mobility</t>
        </is>
      </c>
      <c r="L27" t="inlineStr"/>
      <c r="M27" t="inlineStr">
        <is>
          <t>Master Thesis / Internship</t>
        </is>
      </c>
      <c r="N27" t="inlineStr">
        <is>
          <t>Rolling</t>
        </is>
      </c>
      <c r="O27" t="inlineStr">
        <is>
          <t>EUMaster4HPC</t>
        </is>
      </c>
      <c r="P27" t="b">
        <v>0</v>
      </c>
      <c r="Q27" t="inlineStr"/>
      <c r="R27" t="inlineStr"/>
      <c r="S27" t="n">
        <v>88.8</v>
      </c>
      <c r="T27" t="inlineStr">
        <is>
          <t>Overall match: 89%; Education: 100%, Skills: 100%, Programming: 55%; Research: 90%, Experience: 70%; Strengths: Python programming, HPC background, Quantum computing knowledge</t>
        </is>
      </c>
      <c r="U27" t="inlineStr">
        <is>
          <t>Python programming, HPC background, Quantum computing knowledge</t>
        </is>
      </c>
      <c r="V27" t="inlineStr">
        <is>
          <t>proceed</t>
        </is>
      </c>
      <c r="W27">
        <f>HYPERLINK("C:\Users\ASWA\Music\Playlists\project Job\generated\CV\tex\EUMaster4HPC_Consortium_Masters_Thesis_Internship_Multiple_EU_Locations.tex","Open Resume Tex")</f>
        <v/>
      </c>
      <c r="X27">
        <f>HYPERLINK("C:\Users\ASWA\Music\Playlists\project Job\generated\CV\pdf\EUMaster4HPC_Consortium_Masters_Thesis_Internship_Multiple_EU_Locations.pdf","Open Resume Pdf")</f>
        <v/>
      </c>
      <c r="Y27">
        <f>HYPERLINK("C:\Users\ASWA\Music\Playlists\project Job\generated\CoverLetters\docx\EUMaster4HPC_Consortium_Masters_Thesis_Internship_Multiple_EU_Locations_CoverLetter.docx","Open Cover Letter")</f>
        <v/>
      </c>
      <c r="Z27" t="inlineStr">
        <is>
          <t>2026-06-27T20:41:49.971195</t>
        </is>
      </c>
    </row>
    <row r="28">
      <c r="A28" t="n">
        <v>27</v>
      </c>
      <c r="B28" t="n">
        <v>62</v>
      </c>
      <c r="C28" t="inlineStr">
        <is>
          <t>EUMaster4HPC / EuroHPC JU Partners</t>
        </is>
      </c>
      <c r="D28" t="inlineStr">
        <is>
          <t>Research Internship / Master Thesis at EuroHPC JU Participating States</t>
        </is>
      </c>
      <c r="E28" t="inlineStr">
        <is>
          <t>EuroHPC JU Participating States (multiple EU countries)</t>
        </is>
      </c>
      <c r="F28" t="inlineStr">
        <is>
          <t>2025-09-22</t>
        </is>
      </c>
      <c r="G28" t="inlineStr">
        <is>
          <t>Internships for EUMaster4HPC students in research labs or companies across EuroHPC JU participating states. Duration 2-6 months. Research internships in public/private labs; company internships in industry. Strong conceptual and scientific content.</t>
        </is>
      </c>
      <c r="H28" t="inlineStr">
        <is>
          <t>EUMaster4HPC student status; Programming (Python, C); HPC fundamentals; Research or industry interest; English proficiency; EU mobility</t>
        </is>
      </c>
      <c r="I28" t="inlineStr">
        <is>
          <t>Prior HPC project experience; GPU computing; Publications; Domain-specific knowledge</t>
        </is>
      </c>
      <c r="J28" t="inlineStr">
        <is>
          <t>https://eumaster4hpc.uni.lu/internships/</t>
        </is>
      </c>
      <c r="K28" t="inlineStr">
        <is>
          <t>HPC, Scientific Computing, Python, Research, EU Mobility</t>
        </is>
      </c>
      <c r="L28" t="inlineStr"/>
      <c r="M28" t="inlineStr">
        <is>
          <t>Master Thesis / Internship (2-6 months)</t>
        </is>
      </c>
      <c r="N28" t="inlineStr">
        <is>
          <t>Feb-Aug 2026</t>
        </is>
      </c>
      <c r="O28" t="inlineStr">
        <is>
          <t>EUMaster4HPC</t>
        </is>
      </c>
      <c r="P28" t="b">
        <v>0</v>
      </c>
      <c r="Q28" t="inlineStr"/>
      <c r="R28" t="inlineStr"/>
      <c r="S28" t="n">
        <v>90</v>
      </c>
      <c r="T28" t="inlineStr">
        <is>
          <t>Overall match: 90%; Education: 80%, Skills: 100%, Programming: 100%; Research: 80%, Experience: 70%; Strengths: Python programming, HPC background</t>
        </is>
      </c>
      <c r="U28" t="inlineStr">
        <is>
          <t>Python programming, HPC background</t>
        </is>
      </c>
      <c r="V28" t="inlineStr">
        <is>
          <t>proceed</t>
        </is>
      </c>
      <c r="W28">
        <f>HYPERLINK("C:\Users\ASWA\Music\Playlists\project Job\generated\CV\tex\EUMaster4HPC_EuroHPC_JU_Partners_Research_Internship_Master_Thesis_at_EuroHPC_JU_Pa.tex","Open Resume Tex")</f>
        <v/>
      </c>
      <c r="X28">
        <f>HYPERLINK("C:\Users\ASWA\Music\Playlists\project Job\generated\CV\pdf\EUMaster4HPC_EuroHPC_JU_Partners_Research_Internship_Master_Thesis_at_EuroHPC_JU_Pa.pdf","Open Resume Pdf")</f>
        <v/>
      </c>
      <c r="Y28">
        <f>HYPERLINK("C:\Users\ASWA\Music\Playlists\project Job\generated\CoverLetters\docx\EUMaster4HPC_EuroHPC_JU_Partners_Research_Internship_Master_Thesis_at_EuroHPC_JU_Pa_CoverLetter.docx","Open Cover Letter")</f>
        <v/>
      </c>
      <c r="Z28" t="inlineStr">
        <is>
          <t>2026-06-27T20:41:50.062398</t>
        </is>
      </c>
    </row>
    <row r="29">
      <c r="A29" t="n">
        <v>28</v>
      </c>
      <c r="B29" t="n">
        <v>61</v>
      </c>
      <c r="C29" t="inlineStr">
        <is>
          <t>HiPEAC Network (Various Partners)</t>
        </is>
      </c>
      <c r="D29" t="inlineStr">
        <is>
          <t>PhD Student - HPC / GPU Computing</t>
        </is>
      </c>
      <c r="E29" t="inlineStr">
        <is>
          <t>Various Europe</t>
        </is>
      </c>
      <c r="F29" t="inlineStr">
        <is>
          <t>2026-05-01</t>
        </is>
      </c>
      <c r="G29" t="inlineStr">
        <is>
          <t>PhD research in HPC and GPU computing within the HiPEAC network. Topics include parallel programming, compiler optimization, performance analysis, and heterogeneous computing.</t>
        </is>
      </c>
      <c r="H29" t="inlineStr">
        <is>
          <t>Master's in CS or related; Programming (C/C++, Python); HPC/GPU interest; Research motivation; English proficiency</t>
        </is>
      </c>
      <c r="I29" t="inlineStr">
        <is>
          <t>CUDA/OpenCL; Publications; Compiler knowledge; PhD enrollment; EU mobility</t>
        </is>
      </c>
      <c r="J29" t="inlineStr">
        <is>
          <t>https://www.hipeac.net/jobs/</t>
        </is>
      </c>
      <c r="K29" t="inlineStr">
        <is>
          <t>HPC, GPU, PhD, Research, Python, C</t>
        </is>
      </c>
      <c r="L29" t="inlineStr">
        <is>
          <t>mpi, cuda</t>
        </is>
      </c>
      <c r="M29" t="inlineStr">
        <is>
          <t>PhD</t>
        </is>
      </c>
      <c r="N29" t="inlineStr">
        <is>
          <t>Rolling</t>
        </is>
      </c>
      <c r="O29" t="inlineStr">
        <is>
          <t>HiPEAC Network</t>
        </is>
      </c>
      <c r="P29" t="b">
        <v>0</v>
      </c>
      <c r="Q29" t="inlineStr"/>
      <c r="R29" t="inlineStr"/>
      <c r="S29" t="n">
        <v>88</v>
      </c>
      <c r="T29" t="inlineStr">
        <is>
          <t>Overall match: 88%; Education: 70%, Skills: 100%, Programming: 100%; Research: 80%, Experience: 70%; Strengths: Python programming, HPC background, Optimization methods expertise; Missing: mpi, cuda</t>
        </is>
      </c>
      <c r="U29" t="inlineStr">
        <is>
          <t>Python programming, HPC background, Optimization methods expertise</t>
        </is>
      </c>
      <c r="V29" t="inlineStr">
        <is>
          <t>proceed</t>
        </is>
      </c>
      <c r="W29">
        <f>HYPERLINK("C:\Users\ASWA\Music\Playlists\project Job\generated\CV\tex\HiPEAC_Network_Various_Partners_PhD_Student_HPC_GPU_Computing.tex","Open Resume Tex")</f>
        <v/>
      </c>
      <c r="X29">
        <f>HYPERLINK("C:\Users\ASWA\Music\Playlists\project Job\generated\CV\pdf\HiPEAC_Network_Various_Partners_PhD_Student_HPC_GPU_Computing.pdf","Open Resume Pdf")</f>
        <v/>
      </c>
      <c r="Y29">
        <f>HYPERLINK("C:\Users\ASWA\Music\Playlists\project Job\generated\CoverLetters\docx\HiPEAC_Network_Various_Partners_PhD_Student_HPC_GPU_Computing_CoverLetter.docx","Open Cover Letter")</f>
        <v/>
      </c>
      <c r="Z29" t="inlineStr">
        <is>
          <t>2026-06-27T20:41:50.674660</t>
        </is>
      </c>
    </row>
    <row r="30">
      <c r="A30" t="n">
        <v>29</v>
      </c>
      <c r="B30" t="n">
        <v>60</v>
      </c>
      <c r="C30" t="inlineStr">
        <is>
          <t>HiPEAC Network Partner</t>
        </is>
      </c>
      <c r="D30" t="inlineStr">
        <is>
          <t>PhD Student Position in Efficient and Reliable AI Inference</t>
        </is>
      </c>
      <c r="E30" t="inlineStr">
        <is>
          <t>Europe (various)</t>
        </is>
      </c>
      <c r="F30" t="inlineStr">
        <is>
          <t>2026-06-22</t>
        </is>
      </c>
      <c r="G30" t="inlineStr">
        <is>
          <t>PhD research on efficient and reliable AI inference systems. Focus on optimizing neural network inference for edge and cloud deployment, reliability engineering for AI systems, and hardware-software co-design.</t>
        </is>
      </c>
      <c r="H30" t="inlineStr">
        <is>
          <t>Master's in CS, EE, or related; Deep learning frameworks (PyTorch/TensorFlow); C/C++; Python; Research interest; English proficiency</t>
        </is>
      </c>
      <c r="I30" t="inlineStr">
        <is>
          <t>GPU programming; Edge computing; Publications; PhD enrollment</t>
        </is>
      </c>
      <c r="J30" t="inlineStr">
        <is>
          <t>https://www.hipeac.net/jobs/</t>
        </is>
      </c>
      <c r="K30" t="inlineStr">
        <is>
          <t>AI, ML, PyTorch, Python, C/C++, Research, Optimization</t>
        </is>
      </c>
      <c r="L30" t="inlineStr">
        <is>
          <t>PhD enrollment, GPU programming (advanced), Edge computing, Publications</t>
        </is>
      </c>
      <c r="M30" t="inlineStr">
        <is>
          <t>PhD</t>
        </is>
      </c>
      <c r="N30" t="inlineStr">
        <is>
          <t>Rolling</t>
        </is>
      </c>
      <c r="O30" t="inlineStr">
        <is>
          <t>HiPEAC Network</t>
        </is>
      </c>
      <c r="P30" t="b">
        <v>1</v>
      </c>
      <c r="Q30" t="n">
        <v>27</v>
      </c>
      <c r="R30" t="inlineStr">
        <is>
          <t>Exact URL match</t>
        </is>
      </c>
      <c r="S30" t="inlineStr"/>
      <c r="T30" t="inlineStr"/>
      <c r="U30" t="inlineStr"/>
      <c r="V30" t="inlineStr"/>
      <c r="W30" t="inlineStr"/>
      <c r="X30" t="inlineStr"/>
      <c r="Y30" t="inlineStr"/>
      <c r="Z30" t="inlineStr"/>
    </row>
    <row r="31">
      <c r="A31" t="n">
        <v>30</v>
      </c>
      <c r="B31" t="n">
        <v>59</v>
      </c>
      <c r="C31" t="inlineStr">
        <is>
          <t>University of Innsbruck (UIBK)</t>
        </is>
      </c>
      <c r="D31" t="inlineStr">
        <is>
          <t>PhD Positions in AI-Driven Edge-Cloud Computing</t>
        </is>
      </c>
      <c r="E31" t="inlineStr">
        <is>
          <t>Innsbruck, Austria</t>
        </is>
      </c>
      <c r="F31" t="inlineStr">
        <is>
          <t>2026-06-17</t>
        </is>
      </c>
      <c r="G31" t="inlineStr">
        <is>
          <t>PhD research in distributed systems with focus on cloud and edge computing and/or artificial intelligence. Develop the Apollo application development and computing environment. Investigate cloud/fog/edge continuum from elastic provisioning to transparent adaptive hosting.</t>
        </is>
      </c>
      <c r="H31" t="inlineStr">
        <is>
          <t>Master's in CS or related; Distributed systems background; AI/ML knowledge; Programming (Python, C++); English proficiency; Research motivation</t>
        </is>
      </c>
      <c r="I31" t="inlineStr">
        <is>
          <t>Cloud computing experience; Edge computing; Publications; German language skills; EU project experience</t>
        </is>
      </c>
      <c r="J31" t="inlineStr">
        <is>
          <t>https://dps.uibk.ac.at/phd-positions-in-ai-driven-edge-cloud-computing/</t>
        </is>
      </c>
      <c r="K31" t="inlineStr">
        <is>
          <t>Distributed Systems, Cloud Computing, AI, Python, Research, Edge Computing</t>
        </is>
      </c>
      <c r="L31" t="inlineStr"/>
      <c r="M31" t="inlineStr">
        <is>
          <t>PhD</t>
        </is>
      </c>
      <c r="N31" t="inlineStr">
        <is>
          <t>ASAP (rolling)</t>
        </is>
      </c>
      <c r="O31" t="inlineStr">
        <is>
          <t>EuroSys / UIBK</t>
        </is>
      </c>
      <c r="P31" t="b">
        <v>0</v>
      </c>
      <c r="Q31" t="inlineStr"/>
      <c r="R31" t="inlineStr"/>
      <c r="S31" t="n">
        <v>69</v>
      </c>
      <c r="T31" t="inlineStr">
        <is>
          <t>Overall match: 69%; Education: 70%, Skills: 60%, Programming: 100%; Research: 80%, Experience: 40%; Strengths: Python programming</t>
        </is>
      </c>
      <c r="U31" t="inlineStr">
        <is>
          <t>Python programming</t>
        </is>
      </c>
      <c r="V31" t="inlineStr">
        <is>
          <t>proceed</t>
        </is>
      </c>
      <c r="W31">
        <f>HYPERLINK("C:\Users\ASWA\Music\Playlists\project Job\generated\CV\tex\University_of_Innsbruck_UIBK_PhD_Positions_in_AI_Driven_Edge_Cloud_Computing.tex","Open Resume Tex")</f>
        <v/>
      </c>
      <c r="X31">
        <f>HYPERLINK("C:\Users\ASWA\Music\Playlists\project Job\generated\CV\pdf\University_of_Innsbruck_UIBK_PhD_Positions_in_AI_Driven_Edge_Cloud_Computing.pdf","Open Resume Pdf")</f>
        <v/>
      </c>
      <c r="Y31">
        <f>HYPERLINK("C:\Users\ASWA\Music\Playlists\project Job\generated\CoverLetters\docx\University_of_Innsbruck_UIBK_PhD_Positions_in_AI_Driven_Edge_Cloud_Computing_CoverLetter.docx","Open Cover Letter")</f>
        <v/>
      </c>
      <c r="Z31" t="inlineStr">
        <is>
          <t>2026-06-27T20:41:50.515002</t>
        </is>
      </c>
    </row>
    <row r="32">
      <c r="A32" t="n">
        <v>31</v>
      </c>
      <c r="B32" t="n">
        <v>58</v>
      </c>
      <c r="C32" t="inlineStr">
        <is>
          <t>University of Torino / ICSC (Italian National Center on HPC and BigData)</t>
        </is>
      </c>
      <c r="D32" t="inlineStr">
        <is>
          <t>Postdoc in Parallel and Distributed Computing / Cloud Engineering / HPC / Federated Learning</t>
        </is>
      </c>
      <c r="E32" t="inlineStr">
        <is>
          <t>Turin, Italy</t>
        </is>
      </c>
      <c r="F32" t="inlineStr">
        <is>
          <t>2024-03-08</t>
        </is>
      </c>
      <c r="G32" t="inlineStr">
        <is>
          <t>Postdoctoral research in parallel and distributed computing, cloud engineering, web 3.0, HPC, and federated/distributed learning. Work on international research projects with applications in medicine, NGS, chemistry, astrophysics. Expected to travel across Europe and overseas.</t>
        </is>
      </c>
      <c r="H32" t="inlineStr">
        <is>
          <t>PhD in CS, Engineering, Physics, Math, or related; Parallel/distributed computing; Cloud engineering; HPC; Research track record; English proficiency</t>
        </is>
      </c>
      <c r="I32" t="inlineStr">
        <is>
          <t>Publications in top venues; EU project experience; Teaching willingness; Italian language skills</t>
        </is>
      </c>
      <c r="J32" t="inlineStr">
        <is>
          <t>https://alpha.di.unito.it/research-position-opening-at-the-parallel-computing-group-of-the-university-of-torino/</t>
        </is>
      </c>
      <c r="K32" t="inlineStr">
        <is>
          <t>Parallel Computing, Distributed Systems, HPC, Cloud, Research, Python</t>
        </is>
      </c>
      <c r="L32" t="inlineStr"/>
      <c r="M32" t="inlineStr">
        <is>
          <t>Postdoc (1+1 or 2+2 years, tenure track possible)</t>
        </is>
      </c>
      <c r="N32" t="inlineStr">
        <is>
          <t>ASAP (rolling)</t>
        </is>
      </c>
      <c r="O32" t="inlineStr">
        <is>
          <t>University of Torino</t>
        </is>
      </c>
      <c r="P32" t="b">
        <v>0</v>
      </c>
      <c r="Q32" t="inlineStr"/>
      <c r="R32" t="inlineStr"/>
      <c r="S32" t="n">
        <v>74</v>
      </c>
      <c r="T32" t="inlineStr">
        <is>
          <t>Overall match: 74%; Education: 40%, Skills: 80%, Programming: 100%; Research: 80%, Experience: 70%; Strengths: Python programming, HPC background</t>
        </is>
      </c>
      <c r="U32" t="inlineStr">
        <is>
          <t>Python programming, HPC background</t>
        </is>
      </c>
      <c r="V32" t="inlineStr">
        <is>
          <t>proceed</t>
        </is>
      </c>
      <c r="W32">
        <f>HYPERLINK("C:\Users\ASWA\Music\Playlists\project Job\generated\CV\tex\University_of_Torino_ICSC_Italian_National_Center__Postdoc_in_Parallel_and_Distributed_Computing_Clou.tex","Open Resume Tex")</f>
        <v/>
      </c>
      <c r="X32">
        <f>HYPERLINK("C:\Users\ASWA\Music\Playlists\project Job\generated\CV\pdf\University_of_Torino_ICSC_Italian_National_Center__Postdoc_in_Parallel_and_Distributed_Computing_Clou.pdf","Open Resume Pdf")</f>
        <v/>
      </c>
      <c r="Y32">
        <f>HYPERLINK("C:\Users\ASWA\Music\Playlists\project Job\generated\CoverLetters\docx\University_of_Torino_ICSC_Italian_National_Center__Postdoc_in_Parallel_and_Distributed_Computing_Clou_CoverLetter.docx","Open Cover Letter")</f>
        <v/>
      </c>
      <c r="Z32" t="inlineStr">
        <is>
          <t>2026-06-27T20:41:54.141854</t>
        </is>
      </c>
    </row>
    <row r="33">
      <c r="A33" t="n">
        <v>32</v>
      </c>
      <c r="B33" t="n">
        <v>57</v>
      </c>
      <c r="C33" t="inlineStr">
        <is>
          <t>University of Applied Sciences and Arts of Western Switzerland (HES-SO)</t>
        </is>
      </c>
      <c r="D33" t="inlineStr">
        <is>
          <t>Postdoctoral Researcher in Applied Research in Post-Quantum Cryptography and Risk Assessment</t>
        </is>
      </c>
      <c r="E33" t="inlineStr">
        <is>
          <t>Geneva, Switzerland</t>
        </is>
      </c>
      <c r="F33" t="inlineStr">
        <is>
          <t>2026-06-17</t>
        </is>
      </c>
      <c r="G33" t="inlineStr">
        <is>
          <t>Postdoctoral research in post-quantum cryptography and risk assessment. Develop and evaluate quantum-resistant cryptographic algorithms, assess security risks in post-quantum transitions, and contribute to standardization efforts.</t>
        </is>
      </c>
      <c r="H33" t="inlineStr">
        <is>
          <t>PhD in Cryptography, CS, Mathematics, or related; Post-quantum cryptography knowledge; Programming (Python, C); Risk assessment; English proficiency</t>
        </is>
      </c>
      <c r="I33" t="inlineStr">
        <is>
          <t>Publications in cryptography; NIST PQC familiarity; French language skills; Industry collaboration experience</t>
        </is>
      </c>
      <c r="J33" t="inlineStr">
        <is>
          <t>http://jobs.eurosys.org/</t>
        </is>
      </c>
      <c r="K33" t="inlineStr">
        <is>
          <t>Quantum Computing, Cryptography, Python, C, Research, Mathematics</t>
        </is>
      </c>
      <c r="L33" t="inlineStr"/>
      <c r="M33" t="inlineStr">
        <is>
          <t>Postdoc</t>
        </is>
      </c>
      <c r="N33" t="inlineStr">
        <is>
          <t>2026-08-01</t>
        </is>
      </c>
      <c r="O33" t="inlineStr">
        <is>
          <t>EuroSys</t>
        </is>
      </c>
      <c r="P33" t="b">
        <v>0</v>
      </c>
      <c r="Q33" t="inlineStr"/>
      <c r="R33" t="inlineStr"/>
      <c r="S33" t="n">
        <v>72.2</v>
      </c>
      <c r="T33" t="inlineStr">
        <is>
          <t>Overall match: 72%; Education: 40%, Skills: 100%, Programming: 55%; Research: 80%, Experience: 40%; Strengths: Python programming, Quantum computing knowledge</t>
        </is>
      </c>
      <c r="U33" t="inlineStr">
        <is>
          <t>Python programming, Quantum computing knowledge</t>
        </is>
      </c>
      <c r="V33" t="inlineStr">
        <is>
          <t>proceed</t>
        </is>
      </c>
      <c r="W33">
        <f>HYPERLINK("C:\Users\ASWA\Music\Playlists\project Job\generated\CV\tex\University_of_Applied_Sciences_and_Arts_of_Western_Postdoctoral_Researcher_in_Applied_Research_in_Pos.tex","Open Resume Tex")</f>
        <v/>
      </c>
      <c r="X33">
        <f>HYPERLINK("C:\Users\ASWA\Music\Playlists\project Job\generated\CV\pdf\University_of_Applied_Sciences_and_Arts_of_Western_Postdoctoral_Researcher_in_Applied_Research_in_Pos.pdf","Open Resume Pdf")</f>
        <v/>
      </c>
      <c r="Y33">
        <f>HYPERLINK("C:\Users\ASWA\Music\Playlists\project Job\generated\CoverLetters\docx\University_of_Applied_Sciences_and_Arts_of_Western_Postdoctoral_Researcher_in_Applied_Research_in_Pos_CoverLetter.docx","Open Cover Letter")</f>
        <v/>
      </c>
      <c r="Z33" t="inlineStr">
        <is>
          <t>2026-06-27T20:41:54.355101</t>
        </is>
      </c>
    </row>
    <row r="34">
      <c r="A34" t="n">
        <v>33</v>
      </c>
      <c r="B34" t="n">
        <v>56</v>
      </c>
      <c r="C34" t="inlineStr">
        <is>
          <t>LISTIC Laboratory, University Savoie Mont Blanc</t>
        </is>
      </c>
      <c r="D34" t="inlineStr">
        <is>
          <t>PhD in Distributed Systems, Artificial Intelligence, Sustainable AI, Energy Optimization</t>
        </is>
      </c>
      <c r="E34" t="inlineStr">
        <is>
          <t>Annecy, France</t>
        </is>
      </c>
      <c r="F34" t="inlineStr">
        <is>
          <t>2026-04-20</t>
        </is>
      </c>
      <c r="G34" t="inlineStr">
        <is>
          <t>PhD research in distributed systems, AI, sustainable AI, and energy optimization. Focus on workload allocation, tool development, and StarPU runtime system for heterogeneous computing.</t>
        </is>
      </c>
      <c r="H34" t="inlineStr">
        <is>
          <t>Master's in CS or related; Distributed systems; AI/ML; Programming (Python, C++); Energy optimization interest; English proficiency</t>
        </is>
      </c>
      <c r="I34" t="inlineStr">
        <is>
          <t>StarPU experience; GPU computing; Publications; French language skills; EU project experience</t>
        </is>
      </c>
      <c r="J34" t="inlineStr">
        <is>
          <t>http://jobs.eurosys.org/</t>
        </is>
      </c>
      <c r="K34" t="inlineStr">
        <is>
          <t>Distributed Systems, AI, Python, C++, Energy Optimization, Research</t>
        </is>
      </c>
      <c r="L34" t="inlineStr">
        <is>
          <t>PhD enrollment, StarPU, French, Advanced distributed systems</t>
        </is>
      </c>
      <c r="M34" t="inlineStr">
        <is>
          <t>PhD</t>
        </is>
      </c>
      <c r="N34" t="inlineStr">
        <is>
          <t>2026-11-01</t>
        </is>
      </c>
      <c r="O34" t="inlineStr">
        <is>
          <t>EuroSys</t>
        </is>
      </c>
      <c r="P34" t="b">
        <v>1</v>
      </c>
      <c r="Q34" t="n">
        <v>31</v>
      </c>
      <c r="R34" t="inlineStr">
        <is>
          <t>Exact URL match</t>
        </is>
      </c>
      <c r="S34" t="inlineStr"/>
      <c r="T34" t="inlineStr"/>
      <c r="U34" t="inlineStr"/>
      <c r="V34" t="inlineStr"/>
      <c r="W34" t="inlineStr"/>
      <c r="X34" t="inlineStr"/>
      <c r="Y34" t="inlineStr"/>
      <c r="Z34" t="inlineStr"/>
    </row>
    <row r="35">
      <c r="A35" t="n">
        <v>34</v>
      </c>
      <c r="B35" t="n">
        <v>55</v>
      </c>
      <c r="C35" t="inlineStr">
        <is>
          <t>KTH Royal Institute of Technology</t>
        </is>
      </c>
      <c r="D35" t="inlineStr">
        <is>
          <t>Postdoc in Large Language Model Inferencing</t>
        </is>
      </c>
      <c r="E35" t="inlineStr">
        <is>
          <t>Stockholm, Sweden</t>
        </is>
      </c>
      <c r="F35" t="inlineStr">
        <is>
          <t>2026-05-08</t>
        </is>
      </c>
      <c r="G35" t="inlineStr">
        <is>
          <t>Postdoctoral research on large language model inference optimization. Focus on efficient deployment, quantization, pruning, and hardware acceleration for LLM inference at scale.</t>
        </is>
      </c>
      <c r="H35" t="inlineStr">
        <is>
          <t>PhD in CS, EE, or related; Deep learning frameworks (PyTorch/TensorFlow); LLM architecture knowledge; C/C++; Python; Research track record; English proficiency</t>
        </is>
      </c>
      <c r="I35" t="inlineStr">
        <is>
          <t>GPU programming (CUDA); Distributed systems; Publications; Swedish language skills; Industry collaboration</t>
        </is>
      </c>
      <c r="J35" t="inlineStr">
        <is>
          <t>http://jobs.eurosys.org/</t>
        </is>
      </c>
      <c r="K35" t="inlineStr">
        <is>
          <t>AI, LLM, PyTorch, Python, C/C++, Research, Optimization</t>
        </is>
      </c>
      <c r="L35" t="inlineStr">
        <is>
          <t>PhD completed, CUDA, Distributed training, Swedish, Publications</t>
        </is>
      </c>
      <c r="M35" t="inlineStr">
        <is>
          <t>Postdoc</t>
        </is>
      </c>
      <c r="N35" t="inlineStr">
        <is>
          <t>2026-05-25 (may be extended)</t>
        </is>
      </c>
      <c r="O35" t="inlineStr">
        <is>
          <t>EuroSys</t>
        </is>
      </c>
      <c r="P35" t="b">
        <v>1</v>
      </c>
      <c r="Q35" t="n">
        <v>31</v>
      </c>
      <c r="R35" t="inlineStr">
        <is>
          <t>Exact URL match</t>
        </is>
      </c>
      <c r="S35" t="inlineStr"/>
      <c r="T35" t="inlineStr"/>
      <c r="U35" t="inlineStr"/>
      <c r="V35" t="inlineStr"/>
      <c r="W35" t="inlineStr"/>
      <c r="X35" t="inlineStr"/>
      <c r="Y35" t="inlineStr"/>
      <c r="Z35" t="inlineStr"/>
    </row>
    <row r="36">
      <c r="A36" t="n">
        <v>35</v>
      </c>
      <c r="B36" t="n">
        <v>54</v>
      </c>
      <c r="C36" t="inlineStr">
        <is>
          <t>QuTech / Delft University of Technology</t>
        </is>
      </c>
      <c r="D36" t="inlineStr">
        <is>
          <t>Postdoc Position in Quantum Network Systems</t>
        </is>
      </c>
      <c r="E36" t="inlineStr">
        <is>
          <t>Delft, Netherlands</t>
        </is>
      </c>
      <c r="F36" t="inlineStr">
        <is>
          <t>2025-12-09</t>
        </is>
      </c>
      <c r="G36" t="inlineStr">
        <is>
          <t>Postdoctoral research on quantum network systems. Design and implement quantum communication protocols, quantum network architectures, and distributed quantum computing systems.</t>
        </is>
      </c>
      <c r="H36" t="inlineStr">
        <is>
          <t>PhD in Quantum Information, CS, Physics, or related; Quantum networking knowledge; Programming (Python, C++); Research track record; English proficiency</t>
        </is>
      </c>
      <c r="I36" t="inlineStr">
        <is>
          <t>Quantum SDKs (Qiskit, Cirq); Publications; Dutch language skills; EU project experience</t>
        </is>
      </c>
      <c r="J36" t="inlineStr">
        <is>
          <t>http://jobs.eurosys.org/</t>
        </is>
      </c>
      <c r="K36" t="inlineStr">
        <is>
          <t>Quantum Computing, Quantum Networks, Python, C++, Research, Distributed Systems</t>
        </is>
      </c>
      <c r="L36" t="inlineStr">
        <is>
          <t>PhD completed, Quantum SDKs, Dutch, Advanced quantum networking, Publications</t>
        </is>
      </c>
      <c r="M36" t="inlineStr">
        <is>
          <t>Postdoc</t>
        </is>
      </c>
      <c r="N36" t="inlineStr">
        <is>
          <t>2026-01-12 (may accept late applications)</t>
        </is>
      </c>
      <c r="O36" t="inlineStr">
        <is>
          <t>EuroSys</t>
        </is>
      </c>
      <c r="P36" t="b">
        <v>1</v>
      </c>
      <c r="Q36" t="n">
        <v>31</v>
      </c>
      <c r="R36" t="inlineStr">
        <is>
          <t>Exact URL match</t>
        </is>
      </c>
      <c r="S36" t="inlineStr"/>
      <c r="T36" t="inlineStr"/>
      <c r="U36" t="inlineStr"/>
      <c r="V36" t="inlineStr"/>
      <c r="W36" t="inlineStr"/>
      <c r="X36" t="inlineStr"/>
      <c r="Y36" t="inlineStr"/>
      <c r="Z36" t="inlineStr"/>
    </row>
    <row r="37">
      <c r="A37" t="n">
        <v>36</v>
      </c>
      <c r="B37" t="n">
        <v>53</v>
      </c>
      <c r="C37" t="inlineStr">
        <is>
          <t>Chalmers University of Technology</t>
        </is>
      </c>
      <c r="D37" t="inlineStr">
        <is>
          <t>Postdoc Position in Efficient Simulation of Noisy Quantum Circuits</t>
        </is>
      </c>
      <c r="E37" t="inlineStr">
        <is>
          <t>Gothenburg, Sweden</t>
        </is>
      </c>
      <c r="F37" t="inlineStr">
        <is>
          <t>2025-09-27</t>
        </is>
      </c>
      <c r="G37" t="inlineStr">
        <is>
          <t>Postdoctoral research on efficient simulation of noisy quantum circuits. Develop simulation methods for quantum error correction, noise modeling, and validation of quantum hardware.</t>
        </is>
      </c>
      <c r="H37" t="inlineStr">
        <is>
          <t>PhD in Physics, CS, or related; Quantum computing knowledge; Simulation experience; Programming (Python, C++); Research track record; English proficiency</t>
        </is>
      </c>
      <c r="I37" t="inlineStr">
        <is>
          <t>Quantum error correction; Noise modeling; Publications; Swedish language skills; GPU computing</t>
        </is>
      </c>
      <c r="J37" t="inlineStr">
        <is>
          <t>http://jobs.eurosys.org/</t>
        </is>
      </c>
      <c r="K37" t="inlineStr">
        <is>
          <t>Quantum Computing, Simulation, Python, C++, Research, Scientific Computing</t>
        </is>
      </c>
      <c r="L37" t="inlineStr">
        <is>
          <t>PhD completed, Quantum error correction, Swedish, GPU computing, Publications</t>
        </is>
      </c>
      <c r="M37" t="inlineStr">
        <is>
          <t>Postdoc</t>
        </is>
      </c>
      <c r="N37" t="inlineStr">
        <is>
          <t>ASAP (rolling)</t>
        </is>
      </c>
      <c r="O37" t="inlineStr">
        <is>
          <t>EuroSys</t>
        </is>
      </c>
      <c r="P37" t="b">
        <v>1</v>
      </c>
      <c r="Q37" t="n">
        <v>31</v>
      </c>
      <c r="R37" t="inlineStr">
        <is>
          <t>Exact URL match</t>
        </is>
      </c>
      <c r="S37" t="inlineStr"/>
      <c r="T37" t="inlineStr"/>
      <c r="U37" t="inlineStr"/>
      <c r="V37" t="inlineStr"/>
      <c r="W37" t="inlineStr"/>
      <c r="X37" t="inlineStr"/>
      <c r="Y37" t="inlineStr"/>
      <c r="Z37" t="inlineStr"/>
    </row>
    <row r="38">
      <c r="A38" t="n">
        <v>37</v>
      </c>
      <c r="B38" t="n">
        <v>52</v>
      </c>
      <c r="C38" t="inlineStr">
        <is>
          <t>HMx Labs</t>
        </is>
      </c>
      <c r="D38" t="inlineStr">
        <is>
          <t>HPC Software Engineer</t>
        </is>
      </c>
      <c r="E38" t="inlineStr">
        <is>
          <t>London, UK (Hybrid)</t>
        </is>
      </c>
      <c r="F38" t="inlineStr">
        <is>
          <t>2026-05-23</t>
        </is>
      </c>
      <c r="G38" t="inlineStr">
        <is>
          <t>Develop HPC software solutions for scientific and industrial applications. Work on parallel algorithm development, performance optimization, and cloud-HPC integration.</t>
        </is>
      </c>
      <c r="H38" t="inlineStr">
        <is>
          <t>Degree in CS, Physics, or related; Python, C/C++; HPC experience; Parallel programming; Linux; English proficiency</t>
        </is>
      </c>
      <c r="I38" t="inlineStr">
        <is>
          <t>GPU computing; Cloud platforms (AWS/Azure); MPI; Containerization; UK work authorization</t>
        </is>
      </c>
      <c r="J38" t="inlineStr">
        <is>
          <t>https://hpc.social/jobs/</t>
        </is>
      </c>
      <c r="K38" t="inlineStr">
        <is>
          <t>HPC, Python, C/C++, Parallel Programming, Linux, Scientific Computing</t>
        </is>
      </c>
      <c r="L38" t="inlineStr">
        <is>
          <t>mpi, aws, azure</t>
        </is>
      </c>
      <c r="M38" t="inlineStr">
        <is>
          <t>Full-Time</t>
        </is>
      </c>
      <c r="N38" t="inlineStr">
        <is>
          <t>2026-09-01</t>
        </is>
      </c>
      <c r="O38" t="inlineStr">
        <is>
          <t>hpc.social</t>
        </is>
      </c>
      <c r="P38" t="b">
        <v>0</v>
      </c>
      <c r="Q38" t="inlineStr"/>
      <c r="R38" t="inlineStr"/>
      <c r="S38" t="n">
        <v>78.5</v>
      </c>
      <c r="T38" t="inlineStr">
        <is>
          <t>Overall match: 78%; Education: 50%, Skills: 90%, Programming: 100%; Research: 90%, Experience: 40%; Strengths: Python programming, HPC background, Optimization methods expertise; Missing: mpi, aws, azure</t>
        </is>
      </c>
      <c r="U38" t="inlineStr">
        <is>
          <t>Python programming, HPC background, Optimization methods expertise</t>
        </is>
      </c>
      <c r="V38" t="inlineStr">
        <is>
          <t>proceed</t>
        </is>
      </c>
      <c r="W38">
        <f>HYPERLINK("C:\Users\ASWA\Music\Playlists\project Job\generated\CV\tex\HMx_Labs_HPC_Software_Engineer.tex","Open Resume Tex")</f>
        <v/>
      </c>
      <c r="X38">
        <f>HYPERLINK("C:\Users\ASWA\Music\Playlists\project Job\generated\CV\pdf\HMx_Labs_HPC_Software_Engineer.pdf","Open Resume Pdf")</f>
        <v/>
      </c>
      <c r="Y38">
        <f>HYPERLINK("C:\Users\ASWA\Music\Playlists\project Job\generated\CoverLetters\docx\HMx_Labs_HPC_Software_Engineer_CoverLetter.docx","Open Cover Letter")</f>
        <v/>
      </c>
      <c r="Z38" t="inlineStr">
        <is>
          <t>2026-06-27T20:41:54.425388</t>
        </is>
      </c>
    </row>
    <row r="39">
      <c r="A39" t="n">
        <v>38</v>
      </c>
      <c r="B39" t="n">
        <v>51</v>
      </c>
      <c r="C39" t="inlineStr">
        <is>
          <t>ANEO</t>
        </is>
      </c>
      <c r="D39" t="inlineStr">
        <is>
          <t>HPC Engineer</t>
        </is>
      </c>
      <c r="E39" t="inlineStr">
        <is>
          <t>Paris, France (Hybrid)</t>
        </is>
      </c>
      <c r="F39" t="inlineStr">
        <is>
          <t>2026-04-13</t>
        </is>
      </c>
      <c r="G39" t="inlineStr">
        <is>
          <t>Design and implement HPC solutions for clients in various industries. Work on cluster architecture, performance tuning, and scientific application optimization.</t>
        </is>
      </c>
      <c r="H39" t="inlineStr">
        <is>
          <t>Degree in CS, Engineering, or related; HPC experience; Linux; Python/Bash; Cluster management; French and English proficiency</t>
        </is>
      </c>
      <c r="I39" t="inlineStr">
        <is>
          <t>MPI; OpenMP; GPU computing; Slurm; French B2+; Client-facing experience</t>
        </is>
      </c>
      <c r="J39" t="inlineStr">
        <is>
          <t>https://hpc.social/jobs/</t>
        </is>
      </c>
      <c r="K39" t="inlineStr">
        <is>
          <t>HPC, Linux, Python, Cluster Management, Scientific Computing</t>
        </is>
      </c>
      <c r="L39" t="inlineStr">
        <is>
          <t>French B2+, MPI/OpenMP, Slurm, Client-facing skills, GPU computing</t>
        </is>
      </c>
      <c r="M39" t="inlineStr">
        <is>
          <t>Full-Time (Permanent)</t>
        </is>
      </c>
      <c r="N39" t="inlineStr">
        <is>
          <t>2026-07-31</t>
        </is>
      </c>
      <c r="O39" t="inlineStr">
        <is>
          <t>hpc.social</t>
        </is>
      </c>
      <c r="P39" t="b">
        <v>1</v>
      </c>
      <c r="Q39" t="n">
        <v>36</v>
      </c>
      <c r="R39" t="inlineStr">
        <is>
          <t>Exact URL match</t>
        </is>
      </c>
      <c r="S39" t="inlineStr"/>
      <c r="T39" t="inlineStr"/>
      <c r="U39" t="inlineStr"/>
      <c r="V39" t="inlineStr"/>
      <c r="W39" t="inlineStr"/>
      <c r="X39" t="inlineStr"/>
      <c r="Y39" t="inlineStr"/>
      <c r="Z39" t="inlineStr"/>
    </row>
    <row r="40">
      <c r="A40" t="n">
        <v>39</v>
      </c>
      <c r="B40" t="n">
        <v>50</v>
      </c>
      <c r="C40" t="inlineStr">
        <is>
          <t>Max Planck Institute for Multidisciplinary Sciences (MPI-NAT)</t>
        </is>
      </c>
      <c r="D40" t="inlineStr">
        <is>
          <t>IT System Administrator or HPC Infrastructure Manager</t>
        </is>
      </c>
      <c r="E40" t="inlineStr">
        <is>
          <t>Göttingen, Germany</t>
        </is>
      </c>
      <c r="F40" t="inlineStr">
        <is>
          <t>2026-05-05</t>
        </is>
      </c>
      <c r="G40" t="inlineStr">
        <is>
          <t>Manage HPC infrastructure for theoretical and computational biophysics department. Administer Linux clusters, optimize scientific computing workflows, and support researchers.</t>
        </is>
      </c>
      <c r="H40" t="inlineStr">
        <is>
          <t>Degree in CS or related; Linux system administration; HPC cluster management; Scripting (Python, Bash); Scientific computing support; English proficiency</t>
        </is>
      </c>
      <c r="I40" t="inlineStr">
        <is>
          <t>Biophysics domain knowledge; Slurm; Lustre; German language skills; Publications</t>
        </is>
      </c>
      <c r="J40" t="inlineStr">
        <is>
          <t>https://hpc.social/jobs/</t>
        </is>
      </c>
      <c r="K40" t="inlineStr">
        <is>
          <t>HPC, Linux, System Administration, Python, Scientific Computing</t>
        </is>
      </c>
      <c r="L40" t="inlineStr">
        <is>
          <t>Advanced sysadmin, Biophysics domain, Slurm, Lustre, German B1+</t>
        </is>
      </c>
      <c r="M40" t="inlineStr">
        <is>
          <t>Full-Time</t>
        </is>
      </c>
      <c r="N40" t="inlineStr">
        <is>
          <t>2026-05-17</t>
        </is>
      </c>
      <c r="O40" t="inlineStr">
        <is>
          <t>hpc.social</t>
        </is>
      </c>
      <c r="P40" t="b">
        <v>1</v>
      </c>
      <c r="Q40" t="n">
        <v>36</v>
      </c>
      <c r="R40" t="inlineStr">
        <is>
          <t>Exact URL match</t>
        </is>
      </c>
      <c r="S40" t="inlineStr"/>
      <c r="T40" t="inlineStr"/>
      <c r="U40" t="inlineStr"/>
      <c r="V40" t="inlineStr"/>
      <c r="W40" t="inlineStr"/>
      <c r="X40" t="inlineStr"/>
      <c r="Y40" t="inlineStr"/>
      <c r="Z40" t="inlineStr"/>
    </row>
    <row r="41">
      <c r="A41" t="n">
        <v>40</v>
      </c>
      <c r="B41" t="n">
        <v>49</v>
      </c>
      <c r="C41" t="inlineStr">
        <is>
          <t>Dublin City University</t>
        </is>
      </c>
      <c r="D41" t="inlineStr">
        <is>
          <t>4-Year Postdoctoral Researcher in Cheminformatics/CUDA</t>
        </is>
      </c>
      <c r="E41" t="inlineStr">
        <is>
          <t>Dublin, Ireland</t>
        </is>
      </c>
      <c r="F41" t="inlineStr">
        <is>
          <t>2026-04-15</t>
        </is>
      </c>
      <c r="G41" t="inlineStr">
        <is>
          <t>Postdoctoral research in cheminformatics with GPU acceleration using CUDA. Develop high-performance algorithms for molecular modeling, drug discovery, and chemical informatics.</t>
        </is>
      </c>
      <c r="H41" t="inlineStr">
        <is>
          <t>PhD in Chemistry, CS, or related; CUDA programming; Cheminformatics; Python, C/C++; Research track record; English proficiency</t>
        </is>
      </c>
      <c r="I41" t="inlineStr">
        <is>
          <t>Molecular modeling; Drug discovery; Publications; GPU optimization; RDKit/OpenEye</t>
        </is>
      </c>
      <c r="J41" t="inlineStr">
        <is>
          <t>https://hpc.social/jobs/</t>
        </is>
      </c>
      <c r="K41" t="inlineStr">
        <is>
          <t>CUDA, Python, C/C++, Scientific Computing, Research, GPU Computing</t>
        </is>
      </c>
      <c r="L41" t="inlineStr">
        <is>
          <t>PhD completed, Cheminformatics, CUDA (advanced), Drug discovery, Publications</t>
        </is>
      </c>
      <c r="M41" t="inlineStr">
        <is>
          <t>Postdoc (4 years)</t>
        </is>
      </c>
      <c r="N41" t="inlineStr">
        <is>
          <t>2026-05-10</t>
        </is>
      </c>
      <c r="O41" t="inlineStr">
        <is>
          <t>hpc.social</t>
        </is>
      </c>
      <c r="P41" t="b">
        <v>1</v>
      </c>
      <c r="Q41" t="n">
        <v>36</v>
      </c>
      <c r="R41" t="inlineStr">
        <is>
          <t>Exact URL match</t>
        </is>
      </c>
      <c r="S41" t="inlineStr"/>
      <c r="T41" t="inlineStr"/>
      <c r="U41" t="inlineStr"/>
      <c r="V41" t="inlineStr"/>
      <c r="W41" t="inlineStr"/>
      <c r="X41" t="inlineStr"/>
      <c r="Y41" t="inlineStr"/>
      <c r="Z41" t="inlineStr"/>
    </row>
    <row r="42">
      <c r="A42" t="n">
        <v>41</v>
      </c>
      <c r="B42" t="n">
        <v>48</v>
      </c>
      <c r="C42" t="inlineStr">
        <is>
          <t>University of Luxembourg</t>
        </is>
      </c>
      <c r="D42" t="inlineStr">
        <is>
          <t>Postdoctoral Researcher (Remote Friendly)</t>
        </is>
      </c>
      <c r="E42" t="inlineStr">
        <is>
          <t>Esch-Belval, Luxembourg (Remote friendly)</t>
        </is>
      </c>
      <c r="F42" t="inlineStr">
        <is>
          <t>2026-03-30</t>
        </is>
      </c>
      <c r="G42" t="inlineStr">
        <is>
          <t>Postdoctoral research in computational science and HPC. Flexible research topics aligned with university's strategic priorities in digital sciences and interdisciplinary computing.</t>
        </is>
      </c>
      <c r="H42" t="inlineStr">
        <is>
          <t>PhD in CS, Mathematics, Physics, or related; HPC or computational science background; Programming (Python, C/C++); Research track record; English proficiency</t>
        </is>
      </c>
      <c r="I42" t="inlineStr">
        <is>
          <t>Publications; EU project experience; French/German language skills; Teaching experience</t>
        </is>
      </c>
      <c r="J42" t="inlineStr">
        <is>
          <t>https://hpc.social/jobs/</t>
        </is>
      </c>
      <c r="K42" t="inlineStr">
        <is>
          <t>HPC, Computational Science, Python, C/C++, Research, Remote work</t>
        </is>
      </c>
      <c r="L42" t="inlineStr">
        <is>
          <t>PhD completed, Publications, French/German, EU project experience</t>
        </is>
      </c>
      <c r="M42" t="inlineStr">
        <is>
          <t>Postdoc (Remote friendly)</t>
        </is>
      </c>
      <c r="N42" t="inlineStr">
        <is>
          <t>2026-08-01</t>
        </is>
      </c>
      <c r="O42" t="inlineStr">
        <is>
          <t>hpc.social</t>
        </is>
      </c>
      <c r="P42" t="b">
        <v>1</v>
      </c>
      <c r="Q42" t="n">
        <v>36</v>
      </c>
      <c r="R42" t="inlineStr">
        <is>
          <t>Exact URL match</t>
        </is>
      </c>
      <c r="S42" t="inlineStr"/>
      <c r="T42" t="inlineStr"/>
      <c r="U42" t="inlineStr"/>
      <c r="V42" t="inlineStr"/>
      <c r="W42" t="inlineStr"/>
      <c r="X42" t="inlineStr"/>
      <c r="Y42" t="inlineStr"/>
      <c r="Z42" t="inlineStr"/>
    </row>
    <row r="43">
      <c r="A43" t="n">
        <v>42</v>
      </c>
      <c r="B43" t="n">
        <v>47</v>
      </c>
      <c r="C43" t="inlineStr">
        <is>
          <t>Alpha Compute Corp</t>
        </is>
      </c>
      <c r="D43" t="inlineStr">
        <is>
          <t>Lead GPU Infrastructure Engineer (HPC Fleet)</t>
        </is>
      </c>
      <c r="E43" t="inlineStr">
        <is>
          <t>Remote (US-based company)</t>
        </is>
      </c>
      <c r="F43" t="inlineStr">
        <is>
          <t>2026-05-11</t>
        </is>
      </c>
      <c r="G43" t="inlineStr">
        <is>
          <t>Lead GPU infrastructure engineering for HPC fleet management. Design and optimize large-scale GPU clusters for AI/ML training and inference workloads.</t>
        </is>
      </c>
      <c r="H43" t="inlineStr">
        <is>
          <t>5+ years experience; GPU infrastructure; HPC cluster management; Python, C/C++; CUDA; Distributed systems; English proficiency</t>
        </is>
      </c>
      <c r="I43" t="inlineStr">
        <is>
          <t>Kubernetes; MLOps; InfiniBand; NCCL; Cloud platforms; Team leadership</t>
        </is>
      </c>
      <c r="J43" t="inlineStr">
        <is>
          <t>https://www.linkedin.com/jobs/view/4410948568/</t>
        </is>
      </c>
      <c r="K43" t="inlineStr">
        <is>
          <t>GPU, HPC, Python, C/C++, Distributed Systems, Infrastructure</t>
        </is>
      </c>
      <c r="L43" t="inlineStr">
        <is>
          <t>cuda, kubernetes</t>
        </is>
      </c>
      <c r="M43" t="inlineStr">
        <is>
          <t>Full-Time (Remote)</t>
        </is>
      </c>
      <c r="N43" t="inlineStr">
        <is>
          <t>2026-11-08</t>
        </is>
      </c>
      <c r="O43" t="inlineStr">
        <is>
          <t>hpc.social / LinkedIn</t>
        </is>
      </c>
      <c r="P43" t="b">
        <v>0</v>
      </c>
      <c r="Q43" t="inlineStr"/>
      <c r="R43" t="inlineStr"/>
      <c r="S43" t="n">
        <v>71.5</v>
      </c>
      <c r="T43" t="inlineStr">
        <is>
          <t>Overall match: 72%; Education: 50%, Skills: 80%, Programming: 100%; Research: 70%, Experience: 40%; Strengths: Python programming, HPC background; Missing: cuda, kubernetes</t>
        </is>
      </c>
      <c r="U43" t="inlineStr">
        <is>
          <t>Python programming, HPC background</t>
        </is>
      </c>
      <c r="V43" t="inlineStr">
        <is>
          <t>proceed</t>
        </is>
      </c>
      <c r="W43">
        <f>HYPERLINK("C:\Users\ASWA\Music\Playlists\project Job\generated\CV\tex\Alpha_Compute_Corp_Lead_GPU_Infrastructure_Engineer_HPC_Fleet.tex","Open Resume Tex")</f>
        <v/>
      </c>
      <c r="X43">
        <f>HYPERLINK("C:\Users\ASWA\Music\Playlists\project Job\generated\CV\pdf\Alpha_Compute_Corp_Lead_GPU_Infrastructure_Engineer_HPC_Fleet.pdf","Open Resume Pdf")</f>
        <v/>
      </c>
      <c r="Y43">
        <f>HYPERLINK("C:\Users\ASWA\Music\Playlists\project Job\generated\CoverLetters\docx\Alpha_Compute_Corp_Lead_GPU_Infrastructure_Engineer_HPC_Fleet_CoverLetter.docx","Open Cover Letter")</f>
        <v/>
      </c>
      <c r="Z43" t="inlineStr">
        <is>
          <t>2026-06-27T20:41:54.539466</t>
        </is>
      </c>
    </row>
    <row r="44">
      <c r="A44" t="n">
        <v>43</v>
      </c>
      <c r="B44" t="n">
        <v>46</v>
      </c>
      <c r="C44" t="inlineStr">
        <is>
          <t>Alliance Services+</t>
        </is>
      </c>
      <c r="D44" t="inlineStr">
        <is>
          <t>DevOps Engineer HPC</t>
        </is>
      </c>
      <c r="E44" t="inlineStr">
        <is>
          <t>Remote (UK-based, 1 day/week in London)</t>
        </is>
      </c>
      <c r="F44" t="inlineStr">
        <is>
          <t>2026-05-06</t>
        </is>
      </c>
      <c r="G44" t="inlineStr">
        <is>
          <t>DevOps engineering for HPC environments. Automate deployment, monitoring, and management of HPC clusters. CI/CD pipeline development for scientific software.</t>
        </is>
      </c>
      <c r="H44" t="inlineStr">
        <is>
          <t>HPC experience; DevOps tools (Ansible, Terraform, Jenkins); Linux; Python/Bash; Containerization (Docker); CI/CD; English proficiency</t>
        </is>
      </c>
      <c r="I44" t="inlineStr">
        <is>
          <t>Kubernetes; Slurm; Cloud platforms; UK work authorization; Monitoring tools (Prometheus, Grafana)</t>
        </is>
      </c>
      <c r="J44" t="inlineStr">
        <is>
          <t>https://hpc.social/jobs/</t>
        </is>
      </c>
      <c r="K44" t="inlineStr">
        <is>
          <t>HPC, DevOps, Linux, Python, Containerization, CI/CD, Automation</t>
        </is>
      </c>
      <c r="L44" t="inlineStr">
        <is>
          <t>UK work authorization, Kubernetes, Slurm, Cloud platforms, Advanced DevOps</t>
        </is>
      </c>
      <c r="M44" t="inlineStr">
        <is>
          <t>Full-Time (Hybrid)</t>
        </is>
      </c>
      <c r="N44" t="inlineStr">
        <is>
          <t>2026-05-25</t>
        </is>
      </c>
      <c r="O44" t="inlineStr">
        <is>
          <t>hpc.social</t>
        </is>
      </c>
      <c r="P44" t="b">
        <v>1</v>
      </c>
      <c r="Q44" t="n">
        <v>36</v>
      </c>
      <c r="R44" t="inlineStr">
        <is>
          <t>Exact URL match</t>
        </is>
      </c>
      <c r="S44" t="inlineStr"/>
      <c r="T44" t="inlineStr"/>
      <c r="U44" t="inlineStr"/>
      <c r="V44" t="inlineStr"/>
      <c r="W44" t="inlineStr"/>
      <c r="X44" t="inlineStr"/>
      <c r="Y44" t="inlineStr"/>
      <c r="Z44" t="inlineStr"/>
    </row>
    <row r="45">
      <c r="A45" t="n">
        <v>44</v>
      </c>
      <c r="B45" t="n">
        <v>45</v>
      </c>
      <c r="C45" t="inlineStr">
        <is>
          <t>Habor Pointe Consulting</t>
        </is>
      </c>
      <c r="D45" t="inlineStr">
        <is>
          <t>Lead HPC Architect CyberSecurity</t>
        </is>
      </c>
      <c r="E45" t="inlineStr">
        <is>
          <t>Remote (US-based)</t>
        </is>
      </c>
      <c r="F45" t="inlineStr">
        <is>
          <t>2026-03-12</t>
        </is>
      </c>
      <c r="G45" t="inlineStr">
        <is>
          <t>Lead HPC architecture with cybersecurity focus. Design secure HPC environments, implement security protocols, and advise clients on HPC security best practices.</t>
        </is>
      </c>
      <c r="H45" t="inlineStr">
        <is>
          <t>10+ years experience; HPC architecture; Cybersecurity; Linux; Python; Network security; English proficiency</t>
        </is>
      </c>
      <c r="I45" t="inlineStr">
        <is>
          <t>CISSP; CISA; Cloud security; Compliance (HIPAA, NIST); Team leadership; US work authorization</t>
        </is>
      </c>
      <c r="J45" t="inlineStr">
        <is>
          <t>https://hpc.social/jobs/</t>
        </is>
      </c>
      <c r="K45" t="inlineStr">
        <is>
          <t>HPC, Linux, Python, Security, Architecture</t>
        </is>
      </c>
      <c r="L45" t="inlineStr">
        <is>
          <t>10+ years experience, Cybersecurity certifications, US work authorization, Team leadership, Cloud security</t>
        </is>
      </c>
      <c r="M45" t="inlineStr">
        <is>
          <t>Full-Time (Remote)</t>
        </is>
      </c>
      <c r="N45" t="inlineStr">
        <is>
          <t>2026-06-30</t>
        </is>
      </c>
      <c r="O45" t="inlineStr">
        <is>
          <t>hpc.social</t>
        </is>
      </c>
      <c r="P45" t="b">
        <v>1</v>
      </c>
      <c r="Q45" t="n">
        <v>36</v>
      </c>
      <c r="R45" t="inlineStr">
        <is>
          <t>Exact URL match</t>
        </is>
      </c>
      <c r="S45" t="inlineStr"/>
      <c r="T45" t="inlineStr"/>
      <c r="U45" t="inlineStr"/>
      <c r="V45" t="inlineStr"/>
      <c r="W45" t="inlineStr"/>
      <c r="X45" t="inlineStr"/>
      <c r="Y45" t="inlineStr"/>
      <c r="Z45" t="inlineStr"/>
    </row>
    <row r="46">
      <c r="A46" t="n">
        <v>45</v>
      </c>
      <c r="B46" t="n">
        <v>44</v>
      </c>
      <c r="C46" t="inlineStr">
        <is>
          <t>Habor Pointe Consulting</t>
        </is>
      </c>
      <c r="D46" t="inlineStr">
        <is>
          <t>Sr. HPC Systems Administrator</t>
        </is>
      </c>
      <c r="E46" t="inlineStr">
        <is>
          <t>Remote (US-based)</t>
        </is>
      </c>
      <c r="F46" t="inlineStr">
        <is>
          <t>2026-03-09</t>
        </is>
      </c>
      <c r="G46" t="inlineStr">
        <is>
          <t>Senior HPC systems administration for client environments. Manage Linux clusters, troubleshoot complex issues, and optimize HPC infrastructure performance.</t>
        </is>
      </c>
      <c r="H46" t="inlineStr">
        <is>
          <t>7+ years experience; HPC system administration; Linux; Bash/Python; Cluster management; Troubleshooting; English proficiency</t>
        </is>
      </c>
      <c r="I46" t="inlineStr">
        <is>
          <t>Slurm; Lustre; InfiniBand; US work authorization; Security clearance; Team leadership</t>
        </is>
      </c>
      <c r="J46" t="inlineStr">
        <is>
          <t>https://hpc.social/jobs/</t>
        </is>
      </c>
      <c r="K46" t="inlineStr">
        <is>
          <t>HPC, Linux, System Administration, Python, Bash, Cluster Management</t>
        </is>
      </c>
      <c r="L46" t="inlineStr">
        <is>
          <t>7+ years experience, Slurm, Lustre, InfiniBand, US work authorization, Security clearance</t>
        </is>
      </c>
      <c r="M46" t="inlineStr">
        <is>
          <t>Full-Time (Remote)</t>
        </is>
      </c>
      <c r="N46" t="inlineStr">
        <is>
          <t>2026-06-30</t>
        </is>
      </c>
      <c r="O46" t="inlineStr">
        <is>
          <t>hpc.social</t>
        </is>
      </c>
      <c r="P46" t="b">
        <v>1</v>
      </c>
      <c r="Q46" t="n">
        <v>36</v>
      </c>
      <c r="R46" t="inlineStr">
        <is>
          <t>Exact URL match</t>
        </is>
      </c>
      <c r="S46" t="inlineStr"/>
      <c r="T46" t="inlineStr"/>
      <c r="U46" t="inlineStr"/>
      <c r="V46" t="inlineStr"/>
      <c r="W46" t="inlineStr"/>
      <c r="X46" t="inlineStr"/>
      <c r="Y46" t="inlineStr"/>
      <c r="Z46" t="inlineStr"/>
    </row>
    <row r="47">
      <c r="A47" t="n">
        <v>46</v>
      </c>
      <c r="B47" t="n">
        <v>43</v>
      </c>
      <c r="C47" t="inlineStr">
        <is>
          <t>Vorticity Inc</t>
        </is>
      </c>
      <c r="D47" t="inlineStr">
        <is>
          <t>Kernel Engineer — Scientific Computing (SPU)</t>
        </is>
      </c>
      <c r="E47" t="inlineStr">
        <is>
          <t>Redwood City, CA, USA</t>
        </is>
      </c>
      <c r="F47" t="inlineStr">
        <is>
          <t>2026-05-29</t>
        </is>
      </c>
      <c r="G47" t="inlineStr">
        <is>
          <t>Kernel engineering for scientific computing on specialized processing units (SPU). Develop low-level kernels for numerical algorithms, linear algebra, and scientific simulations.</t>
        </is>
      </c>
      <c r="H47" t="inlineStr">
        <is>
          <t>Degree in CS, Physics, or related; C/C++ (expert); Kernel development; Numerical algorithms; Linear algebra; English proficiency</t>
        </is>
      </c>
      <c r="I47" t="inlineStr">
        <is>
          <t>GPU kernel development; Assembly; Publications; US work authorization; PhD</t>
        </is>
      </c>
      <c r="J47" t="inlineStr">
        <is>
          <t>https://hpc.social/jobs/</t>
        </is>
      </c>
      <c r="K47" t="inlineStr">
        <is>
          <t>Scientific Computing, C/C++, Numerical Algorithms, Linear Algebra, Kernel Development</t>
        </is>
      </c>
      <c r="L47" t="inlineStr">
        <is>
          <t>Advanced C++ (expert), GPU kernel development, Assembly, US work authorization, PhD</t>
        </is>
      </c>
      <c r="M47" t="inlineStr">
        <is>
          <t>Full-Time</t>
        </is>
      </c>
      <c r="N47" t="inlineStr">
        <is>
          <t>2026-06-01</t>
        </is>
      </c>
      <c r="O47" t="inlineStr">
        <is>
          <t>hpc.social</t>
        </is>
      </c>
      <c r="P47" t="b">
        <v>1</v>
      </c>
      <c r="Q47" t="n">
        <v>36</v>
      </c>
      <c r="R47" t="inlineStr">
        <is>
          <t>Exact URL match</t>
        </is>
      </c>
      <c r="S47" t="inlineStr"/>
      <c r="T47" t="inlineStr"/>
      <c r="U47" t="inlineStr"/>
      <c r="V47" t="inlineStr"/>
      <c r="W47" t="inlineStr"/>
      <c r="X47" t="inlineStr"/>
      <c r="Y47" t="inlineStr"/>
      <c r="Z47" t="inlineStr"/>
    </row>
    <row r="48">
      <c r="A48" t="n">
        <v>47</v>
      </c>
      <c r="B48" t="n">
        <v>42</v>
      </c>
      <c r="C48" t="inlineStr">
        <is>
          <t>Vorticity Inc</t>
        </is>
      </c>
      <c r="D48" t="inlineStr">
        <is>
          <t>Applied Math Libraries Engineer (SPU)</t>
        </is>
      </c>
      <c r="E48" t="inlineStr">
        <is>
          <t>Redwood City, CA, USA</t>
        </is>
      </c>
      <c r="F48" t="inlineStr">
        <is>
          <t>2026-05-29</t>
        </is>
      </c>
      <c r="G48" t="inlineStr">
        <is>
          <t>Develop applied mathematics libraries for specialized processing units. Focus on BLAS, LAPACK, FFT, and other numerical library implementations optimized for novel hardware.</t>
        </is>
      </c>
      <c r="H48" t="inlineStr">
        <is>
          <t>Degree in Mathematics, CS, or related; C/C++ (expert); Numerical libraries (BLAS, LAPACK); Linear algebra; Optimization; English proficiency</t>
        </is>
      </c>
      <c r="I48" t="inlineStr">
        <is>
          <t>GPU programming; Publications; US work authorization; PhD; Assembly optimization</t>
        </is>
      </c>
      <c r="J48" t="inlineStr">
        <is>
          <t>https://hpc.social/jobs/</t>
        </is>
      </c>
      <c r="K48" t="inlineStr">
        <is>
          <t>Applied Mathematics, C/C++, Numerical Libraries, Linear Algebra, Optimization</t>
        </is>
      </c>
      <c r="L48" t="inlineStr">
        <is>
          <t>Advanced C++ (expert), GPU programming, US work authorization, PhD, Assembly</t>
        </is>
      </c>
      <c r="M48" t="inlineStr">
        <is>
          <t>Full-Time</t>
        </is>
      </c>
      <c r="N48" t="inlineStr">
        <is>
          <t>2026-06-01</t>
        </is>
      </c>
      <c r="O48" t="inlineStr">
        <is>
          <t>hpc.social</t>
        </is>
      </c>
      <c r="P48" t="b">
        <v>1</v>
      </c>
      <c r="Q48" t="n">
        <v>36</v>
      </c>
      <c r="R48" t="inlineStr">
        <is>
          <t>Exact URL match</t>
        </is>
      </c>
      <c r="S48" t="inlineStr"/>
      <c r="T48" t="inlineStr"/>
      <c r="U48" t="inlineStr"/>
      <c r="V48" t="inlineStr"/>
      <c r="W48" t="inlineStr"/>
      <c r="X48" t="inlineStr"/>
      <c r="Y48" t="inlineStr"/>
      <c r="Z48" t="inlineStr"/>
    </row>
    <row r="49">
      <c r="A49" t="n">
        <v>48</v>
      </c>
      <c r="B49" t="n">
        <v>41</v>
      </c>
      <c r="C49" t="inlineStr">
        <is>
          <t>University of Manchester</t>
        </is>
      </c>
      <c r="D49" t="inlineStr">
        <is>
          <t>Postdoc / Researcher in Low-level Kernel Development on MMU-less Processors</t>
        </is>
      </c>
      <c r="E49" t="inlineStr">
        <is>
          <t>Manchester, UK</t>
        </is>
      </c>
      <c r="F49" t="inlineStr">
        <is>
          <t>2026-03-11</t>
        </is>
      </c>
      <c r="G49" t="inlineStr">
        <is>
          <t>Research on low-level kernel development for MMU-less processors. Focus on embedded systems, real-time operating systems, and bare-metal programming for scientific instrumentation.</t>
        </is>
      </c>
      <c r="H49" t="inlineStr">
        <is>
          <t>PhD in CS, EE, or related; Kernel development; C/Assembly; Embedded systems; Research track record; English proficiency</t>
        </is>
      </c>
      <c r="I49" t="inlineStr">
        <is>
          <t>RTOS; Bare-metal programming; Publications; UK work authorization; EU project experience</t>
        </is>
      </c>
      <c r="J49" t="inlineStr">
        <is>
          <t>http://jobs.eurosys.org/</t>
        </is>
      </c>
      <c r="K49" t="inlineStr">
        <is>
          <t>Kernel Development, C, Embedded Systems, Research, Low-level Programming</t>
        </is>
      </c>
      <c r="L49" t="inlineStr">
        <is>
          <t>PhD completed, Assembly, RTOS, Bare-metal, UK work authorization, Publications</t>
        </is>
      </c>
      <c r="M49" t="inlineStr">
        <is>
          <t>Postdoc / Research</t>
        </is>
      </c>
      <c r="N49" t="inlineStr">
        <is>
          <t>ASAP (rolling)</t>
        </is>
      </c>
      <c r="O49" t="inlineStr">
        <is>
          <t>EuroSys</t>
        </is>
      </c>
      <c r="P49" t="b">
        <v>1</v>
      </c>
      <c r="Q49" t="n">
        <v>31</v>
      </c>
      <c r="R49" t="inlineStr">
        <is>
          <t>Exact URL match</t>
        </is>
      </c>
      <c r="S49" t="inlineStr"/>
      <c r="T49" t="inlineStr"/>
      <c r="U49" t="inlineStr"/>
      <c r="V49" t="inlineStr"/>
      <c r="W49" t="inlineStr"/>
      <c r="X49" t="inlineStr"/>
      <c r="Y49" t="inlineStr"/>
      <c r="Z49" t="inlineStr"/>
    </row>
    <row r="50">
      <c r="A50" t="n">
        <v>49</v>
      </c>
      <c r="B50" t="n">
        <v>40</v>
      </c>
      <c r="C50" t="inlineStr">
        <is>
          <t>IMT Atlantique</t>
        </is>
      </c>
      <c r="D50" t="inlineStr">
        <is>
          <t>PhD in Storage Management Systems for Distributed Edge Services</t>
        </is>
      </c>
      <c r="E50" t="inlineStr">
        <is>
          <t>Nantes, France</t>
        </is>
      </c>
      <c r="F50" t="inlineStr">
        <is>
          <t>2025-06-03</t>
        </is>
      </c>
      <c r="G50" t="inlineStr">
        <is>
          <t>PhD research on storage management systems for distributed edge services. Develop local-first storage solutions following local-first principles for edge computing environments.</t>
        </is>
      </c>
      <c r="H50" t="inlineStr">
        <is>
          <t>Master's in CS or related; Distributed systems; Storage systems; Edge computing; Programming (Python, C++); English proficiency</t>
        </is>
      </c>
      <c r="I50" t="inlineStr">
        <is>
          <t>CRDTs; Local-first software; French language skills; EU project experience; Publications</t>
        </is>
      </c>
      <c r="J50" t="inlineStr">
        <is>
          <t>http://jobs.eurosys.org/</t>
        </is>
      </c>
      <c r="K50" t="inlineStr">
        <is>
          <t>Distributed Systems, Edge Computing, Python, C++, Storage Systems, Research</t>
        </is>
      </c>
      <c r="L50" t="inlineStr">
        <is>
          <t>PhD enrollment, Storage systems (advanced), French, CRDTs, Publications</t>
        </is>
      </c>
      <c r="M50" t="inlineStr">
        <is>
          <t>PhD</t>
        </is>
      </c>
      <c r="N50" t="inlineStr">
        <is>
          <t>ASAP (rolling)</t>
        </is>
      </c>
      <c r="O50" t="inlineStr">
        <is>
          <t>EuroSys</t>
        </is>
      </c>
      <c r="P50" t="b">
        <v>1</v>
      </c>
      <c r="Q50" t="n">
        <v>31</v>
      </c>
      <c r="R50" t="inlineStr">
        <is>
          <t>Exact URL match</t>
        </is>
      </c>
      <c r="S50" t="inlineStr"/>
      <c r="T50" t="inlineStr"/>
      <c r="U50" t="inlineStr"/>
      <c r="V50" t="inlineStr"/>
      <c r="W50" t="inlineStr"/>
      <c r="X50" t="inlineStr"/>
      <c r="Y50" t="inlineStr"/>
      <c r="Z50" t="inlineStr"/>
    </row>
    <row r="51">
      <c r="A51" t="n">
        <v>50</v>
      </c>
      <c r="B51" t="n">
        <v>39</v>
      </c>
      <c r="C51" t="inlineStr">
        <is>
          <t>UCLouvain (Université catholique de Louvain)</t>
        </is>
      </c>
      <c r="D51" t="inlineStr">
        <is>
          <t>Two Post-doctoral Positions on Edge/Cloud Computing</t>
        </is>
      </c>
      <c r="E51" t="inlineStr">
        <is>
          <t>Louvain-la-Neuve, Belgium</t>
        </is>
      </c>
      <c r="F51" t="inlineStr">
        <is>
          <t>2025-05-14</t>
        </is>
      </c>
      <c r="G51" t="inlineStr">
        <is>
          <t>Two postdoctoral positions in edge and cloud computing research. Focus on distributed systems, fog computing, and cloud-edge continuum architectures.</t>
        </is>
      </c>
      <c r="H51" t="inlineStr">
        <is>
          <t>PhD in CS or related; Distributed systems; Cloud computing; Edge computing; Research track record; English proficiency</t>
        </is>
      </c>
      <c r="I51" t="inlineStr">
        <is>
          <t>Fog computing; IoT; Publications; French language skills; EU project experience</t>
        </is>
      </c>
      <c r="J51" t="inlineStr">
        <is>
          <t>http://jobs.eurosys.org/</t>
        </is>
      </c>
      <c r="K51" t="inlineStr">
        <is>
          <t>Distributed Systems, Cloud Computing, Edge Computing, Research, Python</t>
        </is>
      </c>
      <c r="L51" t="inlineStr">
        <is>
          <t>PhD completed, Fog computing, French, IoT, Publications</t>
        </is>
      </c>
      <c r="M51" t="inlineStr">
        <is>
          <t>Postdoc</t>
        </is>
      </c>
      <c r="N51" t="inlineStr">
        <is>
          <t>ASAP (rolling)</t>
        </is>
      </c>
      <c r="O51" t="inlineStr">
        <is>
          <t>EuroSys</t>
        </is>
      </c>
      <c r="P51" t="b">
        <v>1</v>
      </c>
      <c r="Q51" t="n">
        <v>31</v>
      </c>
      <c r="R51" t="inlineStr">
        <is>
          <t>Exact URL match</t>
        </is>
      </c>
      <c r="S51" t="inlineStr"/>
      <c r="T51" t="inlineStr"/>
      <c r="U51" t="inlineStr"/>
      <c r="V51" t="inlineStr"/>
      <c r="W51" t="inlineStr"/>
      <c r="X51" t="inlineStr"/>
      <c r="Y51" t="inlineStr"/>
      <c r="Z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2026-06-27T18:46:36Z</dcterms:created>
  <dcterms:modified xmlns:dcterms="http://purl.org/dc/terms/" xmlns:xsi="http://www.w3.org/2001/XMLSchema-instance" xsi:type="dcterms:W3CDTF">2026-06-27T18:46:36Z</dcterms:modified>
</cp:coreProperties>
</file>